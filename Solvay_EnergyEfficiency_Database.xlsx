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Projects" sheetId="2" state="visible" r:id="rId4"/>
    <sheet name="🏭 Sites" sheetId="3" state="visible" r:id="rId5"/>
    <sheet name="📋 Regulatory" sheetId="4" state="visible" r:id="rId6"/>
    <sheet name="🚀 Startup Matchmaking" sheetId="5" state="visible" r:id="rId7"/>
    <sheet name="🧮 TechEco Calculator" sheetId="6" state="visible" r:id="rId8"/>
    <sheet name="📖 Legend &amp; Instructions" sheetId="7" state="visible" r:id="rId9"/>
  </sheets>
  <definedNames>
    <definedName function="false" hidden="true" localSheetId="2" name="_xlnm._FilterDatabase" vbProcedure="false">'🏭 Sites'!$A$2:$K$14</definedName>
    <definedName function="false" hidden="true" localSheetId="1" name="_xlnm._FilterDatabase" vbProcedure="false">'📋 Projects'!$A$2:$P$58</definedName>
    <definedName function="false" hidden="true" localSheetId="3" name="_xlnm._FilterDatabase" vbProcedure="false">'📋 Regulatory'!$A$2:$M$14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<sst xmlns="http://schemas.openxmlformats.org/spreadsheetml/2006/main" count="953" uniqueCount="385">
  <si>
    <t xml:space="preserve">SOLVAY – ENERGY EFFICIENCY PROJECT DATABASE | PRODUCTION EXCELLENCE TEAM</t>
  </si>
  <si>
    <t xml:space="preserve">Interactive Dashboard – Global Portfolio Overview</t>
  </si>
  <si>
    <t xml:space="preserve">KEY PERFORMANCE INDICATORS</t>
  </si>
  <si>
    <t xml:space="preserve">Total Projects</t>
  </si>
  <si>
    <t xml:space="preserve">Sites Covered</t>
  </si>
  <si>
    <t xml:space="preserve">Total Investment
(k€)</t>
  </si>
  <si>
    <t xml:space="preserve">Total Energy Savings
(MWh/yr)</t>
  </si>
  <si>
    <t xml:space="preserve">Total Cost Savings
(k€/yr)</t>
  </si>
  <si>
    <t xml:space="preserve">Total CO2 Reduction
(ktCO2/yr)</t>
  </si>
  <si>
    <t xml:space="preserve">Avg Payback
(yrs)</t>
  </si>
  <si>
    <t xml:space="preserve">Projects Completed</t>
  </si>
  <si>
    <t xml:space="preserve">PROJECT STATUS BREAKDOWN</t>
  </si>
  <si>
    <t xml:space="preserve">PRIORITY BREAKDOWN</t>
  </si>
  <si>
    <t xml:space="preserve">Status</t>
  </si>
  <si>
    <t xml:space="preserve">Count</t>
  </si>
  <si>
    <t xml:space="preserve">Investment (k€)</t>
  </si>
  <si>
    <t xml:space="preserve">Energy Savings (MWh)</t>
  </si>
  <si>
    <t xml:space="preserve">Cost Savings (k€)</t>
  </si>
  <si>
    <t xml:space="preserve">% of Portfolio</t>
  </si>
  <si>
    <t xml:space="preserve">Priority</t>
  </si>
  <si>
    <t xml:space="preserve">Avg Investment (k€)</t>
  </si>
  <si>
    <t xml:space="preserve">Avg Savings (k€/yr)</t>
  </si>
  <si>
    <t xml:space="preserve">Completed</t>
  </si>
  <si>
    <t xml:space="preserve">High</t>
  </si>
  <si>
    <t xml:space="preserve">In Progress</t>
  </si>
  <si>
    <t xml:space="preserve">Medium</t>
  </si>
  <si>
    <t xml:space="preserve">Planned</t>
  </si>
  <si>
    <t xml:space="preserve">Low</t>
  </si>
  <si>
    <t xml:space="preserve">Under Study</t>
  </si>
  <si>
    <t xml:space="preserve">SITE-LEVEL SUMMARY</t>
  </si>
  <si>
    <t xml:space="preserve">Site</t>
  </si>
  <si>
    <t xml:space="preserve">Country</t>
  </si>
  <si>
    <t xml:space="preserve">Business Unit</t>
  </si>
  <si>
    <t xml:space="preserve"># Projects</t>
  </si>
  <si>
    <t xml:space="preserve">Energy Savings (MWh/yr)</t>
  </si>
  <si>
    <t xml:space="preserve">Cost Savings (k€/yr)</t>
  </si>
  <si>
    <t xml:space="preserve">CO2 Red. (ktCO2/yr)</t>
  </si>
  <si>
    <t xml:space="preserve">Avg Payback (yrs)</t>
  </si>
  <si>
    <t xml:space="preserve"># Completed</t>
  </si>
  <si>
    <t xml:space="preserve">ISO 50001</t>
  </si>
  <si>
    <t xml:space="preserve">EU Dir. Compliance</t>
  </si>
  <si>
    <t xml:space="preserve">Dombasle</t>
  </si>
  <si>
    <t xml:space="preserve">France</t>
  </si>
  <si>
    <t xml:space="preserve">Soda Ash</t>
  </si>
  <si>
    <t xml:space="preserve">Jemeppe</t>
  </si>
  <si>
    <t xml:space="preserve">Belgium</t>
  </si>
  <si>
    <t xml:space="preserve">Silica</t>
  </si>
  <si>
    <t xml:space="preserve">Rheinberg</t>
  </si>
  <si>
    <t xml:space="preserve">Germany</t>
  </si>
  <si>
    <t xml:space="preserve">Hydrogen Peroxide</t>
  </si>
  <si>
    <t xml:space="preserve">Martorell</t>
  </si>
  <si>
    <t xml:space="preserve">Spain</t>
  </si>
  <si>
    <t xml:space="preserve">Specialty Polymers</t>
  </si>
  <si>
    <t xml:space="preserve">Warrington</t>
  </si>
  <si>
    <t xml:space="preserve">UK</t>
  </si>
  <si>
    <t xml:space="preserve">Tavaux</t>
  </si>
  <si>
    <t xml:space="preserve">Fluorinated Products</t>
  </si>
  <si>
    <t xml:space="preserve">Bussi</t>
  </si>
  <si>
    <t xml:space="preserve">Italy</t>
  </si>
  <si>
    <t xml:space="preserve">Rosignano</t>
  </si>
  <si>
    <t xml:space="preserve">Torrelavega</t>
  </si>
  <si>
    <t xml:space="preserve">Lyon</t>
  </si>
  <si>
    <t xml:space="preserve">Brussels</t>
  </si>
  <si>
    <t xml:space="preserve">Stauffer</t>
  </si>
  <si>
    <t xml:space="preserve">ENERGY EFFICIENCY PROJECTS DATABASE – ALL SITES</t>
  </si>
  <si>
    <t xml:space="preserve">ID</t>
  </si>
  <si>
    <t xml:space="preserve">Technology</t>
  </si>
  <si>
    <t xml:space="preserve">Project Name</t>
  </si>
  <si>
    <t xml:space="preserve">Year</t>
  </si>
  <si>
    <t xml:space="preserve">Annual Energy Savings (MWh)</t>
  </si>
  <si>
    <t xml:space="preserve">Annual Cost Savings (k€)</t>
  </si>
  <si>
    <t xml:space="preserve">CO2 Reduction (ktCO2/yr)</t>
  </si>
  <si>
    <t xml:space="preserve">Payback (yrs)</t>
  </si>
  <si>
    <t xml:space="preserve">NPV (k€)</t>
  </si>
  <si>
    <t xml:space="preserve">IRR (%)</t>
  </si>
  <si>
    <t xml:space="preserve">EE-001</t>
  </si>
  <si>
    <t xml:space="preserve">Variable Speed Drive</t>
  </si>
  <si>
    <t xml:space="preserve">Variable Speed Drive – Dombasle P1</t>
  </si>
  <si>
    <t xml:space="preserve">EE-002</t>
  </si>
  <si>
    <t xml:space="preserve">Steam Optimization</t>
  </si>
  <si>
    <t xml:space="preserve">Steam Optimization – Dombasle P2</t>
  </si>
  <si>
    <t xml:space="preserve">EE-003</t>
  </si>
  <si>
    <t xml:space="preserve">Insulation Upgrade</t>
  </si>
  <si>
    <t xml:space="preserve">Insulation Upgrade – Dombasle P3</t>
  </si>
  <si>
    <t xml:space="preserve">EE-004</t>
  </si>
  <si>
    <t xml:space="preserve">Insulation Upgrade – Jemeppe P1</t>
  </si>
  <si>
    <t xml:space="preserve">EE-005</t>
  </si>
  <si>
    <t xml:space="preserve">LED Lighting</t>
  </si>
  <si>
    <t xml:space="preserve">LED Lighting – Jemeppe P2</t>
  </si>
  <si>
    <t xml:space="preserve">EE-006</t>
  </si>
  <si>
    <t xml:space="preserve">Variable Speed Drive – Jemeppe P3</t>
  </si>
  <si>
    <t xml:space="preserve">EE-007</t>
  </si>
  <si>
    <t xml:space="preserve">Compressed Air Efficiency</t>
  </si>
  <si>
    <t xml:space="preserve">Compressed Air Efficiency – Jemeppe P4</t>
  </si>
  <si>
    <t xml:space="preserve">EE-008</t>
  </si>
  <si>
    <t xml:space="preserve">LED Lighting – Jemeppe P5</t>
  </si>
  <si>
    <t xml:space="preserve">EE-009</t>
  </si>
  <si>
    <t xml:space="preserve">Variable Speed Drive – Rheinberg P1</t>
  </si>
  <si>
    <t xml:space="preserve">EE-010</t>
  </si>
  <si>
    <t xml:space="preserve">Steam Optimization – Rheinberg P2</t>
  </si>
  <si>
    <t xml:space="preserve">EE-011</t>
  </si>
  <si>
    <t xml:space="preserve">Power Factor Correction</t>
  </si>
  <si>
    <t xml:space="preserve">Power Factor Correction – Rheinberg P3</t>
  </si>
  <si>
    <t xml:space="preserve">EE-012</t>
  </si>
  <si>
    <t xml:space="preserve">Power Factor Correction – Rheinberg P4</t>
  </si>
  <si>
    <t xml:space="preserve">EE-013</t>
  </si>
  <si>
    <t xml:space="preserve">Process Optimization</t>
  </si>
  <si>
    <t xml:space="preserve">Process Optimization – Rheinberg P5</t>
  </si>
  <si>
    <t xml:space="preserve">EE-014</t>
  </si>
  <si>
    <t xml:space="preserve">Power Factor Correction – Martorell P1</t>
  </si>
  <si>
    <t xml:space="preserve">EE-015</t>
  </si>
  <si>
    <t xml:space="preserve">Compressed Air Efficiency – Martorell P2</t>
  </si>
  <si>
    <t xml:space="preserve">EE-016</t>
  </si>
  <si>
    <t xml:space="preserve">Heat Recovery</t>
  </si>
  <si>
    <t xml:space="preserve">Heat Recovery – Martorell P3</t>
  </si>
  <si>
    <t xml:space="preserve">EE-017</t>
  </si>
  <si>
    <t xml:space="preserve">Waste Heat Boiler</t>
  </si>
  <si>
    <t xml:space="preserve">Waste Heat Boiler – Warrington P1</t>
  </si>
  <si>
    <t xml:space="preserve">EE-018</t>
  </si>
  <si>
    <t xml:space="preserve">Variable Speed Drive – Warrington P2</t>
  </si>
  <si>
    <t xml:space="preserve">EE-019</t>
  </si>
  <si>
    <t xml:space="preserve">Power Factor Correction – Warrington P3</t>
  </si>
  <si>
    <t xml:space="preserve">EE-020</t>
  </si>
  <si>
    <t xml:space="preserve">Steam Optimization – Warrington P4</t>
  </si>
  <si>
    <t xml:space="preserve">EE-021</t>
  </si>
  <si>
    <t xml:space="preserve">LED Lighting – Warrington P5</t>
  </si>
  <si>
    <t xml:space="preserve">EE-022</t>
  </si>
  <si>
    <t xml:space="preserve">LED Lighting – Tavaux P1</t>
  </si>
  <si>
    <t xml:space="preserve">EE-023</t>
  </si>
  <si>
    <t xml:space="preserve">Compressed Air Efficiency – Tavaux P2</t>
  </si>
  <si>
    <t xml:space="preserve">EE-024</t>
  </si>
  <si>
    <t xml:space="preserve">Steam Optimization – Tavaux P3</t>
  </si>
  <si>
    <t xml:space="preserve">EE-025</t>
  </si>
  <si>
    <t xml:space="preserve">Waste Heat Boiler – Bussi P1</t>
  </si>
  <si>
    <t xml:space="preserve">EE-026</t>
  </si>
  <si>
    <t xml:space="preserve">LED Lighting – Bussi P2</t>
  </si>
  <si>
    <t xml:space="preserve">EE-027</t>
  </si>
  <si>
    <t xml:space="preserve">Steam Optimization – Bussi P3</t>
  </si>
  <si>
    <t xml:space="preserve">EE-028</t>
  </si>
  <si>
    <t xml:space="preserve">LED Lighting – Bussi P4</t>
  </si>
  <si>
    <t xml:space="preserve">EE-029</t>
  </si>
  <si>
    <t xml:space="preserve">Heat Recovery – Bussi P5</t>
  </si>
  <si>
    <t xml:space="preserve">EE-030</t>
  </si>
  <si>
    <t xml:space="preserve">Electric Motor Upgrade</t>
  </si>
  <si>
    <t xml:space="preserve">Electric Motor Upgrade – Bussi P6</t>
  </si>
  <si>
    <t xml:space="preserve">EE-031</t>
  </si>
  <si>
    <t xml:space="preserve">Variable Speed Drive – Rosignano P1</t>
  </si>
  <si>
    <t xml:space="preserve">EE-032</t>
  </si>
  <si>
    <t xml:space="preserve">Heat Recovery – Rosignano P2</t>
  </si>
  <si>
    <t xml:space="preserve">EE-033</t>
  </si>
  <si>
    <t xml:space="preserve">Process Optimization – Rosignano P3</t>
  </si>
  <si>
    <t xml:space="preserve">EE-034</t>
  </si>
  <si>
    <t xml:space="preserve">Steam Optimization – Rosignano P4</t>
  </si>
  <si>
    <t xml:space="preserve">EE-035</t>
  </si>
  <si>
    <t xml:space="preserve">LED Lighting – Rosignano P5</t>
  </si>
  <si>
    <t xml:space="preserve">EE-036</t>
  </si>
  <si>
    <t xml:space="preserve">Heat Recovery – Torrelavega P1</t>
  </si>
  <si>
    <t xml:space="preserve">EE-037</t>
  </si>
  <si>
    <t xml:space="preserve">Process Optimization – Torrelavega P2</t>
  </si>
  <si>
    <t xml:space="preserve">EE-038</t>
  </si>
  <si>
    <t xml:space="preserve">Compressed Air Efficiency – Torrelavega P3</t>
  </si>
  <si>
    <t xml:space="preserve">EE-039</t>
  </si>
  <si>
    <t xml:space="preserve">Insulation Upgrade – Torrelavega P4</t>
  </si>
  <si>
    <t xml:space="preserve">EE-040</t>
  </si>
  <si>
    <t xml:space="preserve">LED Lighting – Torrelavega P5</t>
  </si>
  <si>
    <t xml:space="preserve">EE-041</t>
  </si>
  <si>
    <t xml:space="preserve">Waste Heat Boiler – Lyon P1</t>
  </si>
  <si>
    <t xml:space="preserve">EE-042</t>
  </si>
  <si>
    <t xml:space="preserve">Power Factor Correction – Lyon P2</t>
  </si>
  <si>
    <t xml:space="preserve">EE-043</t>
  </si>
  <si>
    <t xml:space="preserve">Insulation Upgrade – Lyon P3</t>
  </si>
  <si>
    <t xml:space="preserve">EE-044</t>
  </si>
  <si>
    <t xml:space="preserve">Process Optimization – Lyon P4</t>
  </si>
  <si>
    <t xml:space="preserve">EE-045</t>
  </si>
  <si>
    <t xml:space="preserve">Variable Speed Drive – Brussels P1</t>
  </si>
  <si>
    <t xml:space="preserve">EE-046</t>
  </si>
  <si>
    <t xml:space="preserve">Compressed Air Efficiency – Brussels P2</t>
  </si>
  <si>
    <t xml:space="preserve">EE-047</t>
  </si>
  <si>
    <t xml:space="preserve">Steam Optimization – Brussels P3</t>
  </si>
  <si>
    <t xml:space="preserve">EE-048</t>
  </si>
  <si>
    <t xml:space="preserve">Electric Motor Upgrade – Brussels P4</t>
  </si>
  <si>
    <t xml:space="preserve">EE-049</t>
  </si>
  <si>
    <t xml:space="preserve">Power Factor Correction – Brussels P5</t>
  </si>
  <si>
    <t xml:space="preserve">EE-050</t>
  </si>
  <si>
    <t xml:space="preserve">Variable Speed Drive – Brussels P6</t>
  </si>
  <si>
    <t xml:space="preserve">EE-051</t>
  </si>
  <si>
    <t xml:space="preserve">Process Optimization – Stauffer P1</t>
  </si>
  <si>
    <t xml:space="preserve">EE-052</t>
  </si>
  <si>
    <t xml:space="preserve">Insulation Upgrade – Stauffer P2</t>
  </si>
  <si>
    <t xml:space="preserve">EE-053</t>
  </si>
  <si>
    <t xml:space="preserve">Compressed Air Efficiency – Stauffer P3</t>
  </si>
  <si>
    <t xml:space="preserve">EE-054</t>
  </si>
  <si>
    <t xml:space="preserve">Electric Motor Upgrade – Stauffer P4</t>
  </si>
  <si>
    <t xml:space="preserve">EE-055</t>
  </si>
  <si>
    <t xml:space="preserve">Compressed Air Efficiency – Stauffer P5</t>
  </si>
  <si>
    <t xml:space="preserve">EE-056</t>
  </si>
  <si>
    <t xml:space="preserve">Waste Heat Boiler – Stauffer P6</t>
  </si>
  <si>
    <t xml:space="preserve">INDUSTRIAL SITES MASTER LIST</t>
  </si>
  <si>
    <t xml:space="preserve">Site ID</t>
  </si>
  <si>
    <t xml:space="preserve">Site Name</t>
  </si>
  <si>
    <t xml:space="preserve">Annual Energy Consumption (MWh)</t>
  </si>
  <si>
    <t xml:space="preserve">Baseline Year</t>
  </si>
  <si>
    <t xml:space="preserve">Energy Manager</t>
  </si>
  <si>
    <t xml:space="preserve">Contact Email</t>
  </si>
  <si>
    <t xml:space="preserve"># Active Projects</t>
  </si>
  <si>
    <t xml:space="preserve">Total Investment Pipeline (k€)</t>
  </si>
  <si>
    <t xml:space="preserve">Total Savings Potential (k€/yr)</t>
  </si>
  <si>
    <t xml:space="preserve">S01</t>
  </si>
  <si>
    <t xml:space="preserve">François Bernard</t>
  </si>
  <si>
    <t xml:space="preserve">f.bernard@solvay.com</t>
  </si>
  <si>
    <t xml:space="preserve">S02</t>
  </si>
  <si>
    <t xml:space="preserve">Pierre Dubois</t>
  </si>
  <si>
    <t xml:space="preserve">p.dubois@solvay.com</t>
  </si>
  <si>
    <t xml:space="preserve">S03</t>
  </si>
  <si>
    <t xml:space="preserve">Klaus Müller</t>
  </si>
  <si>
    <t xml:space="preserve">k.mueller@solvay.com</t>
  </si>
  <si>
    <t xml:space="preserve">S04</t>
  </si>
  <si>
    <t xml:space="preserve">Carlos López</t>
  </si>
  <si>
    <t xml:space="preserve">c.lopez@solvay.com</t>
  </si>
  <si>
    <t xml:space="preserve">S05</t>
  </si>
  <si>
    <t xml:space="preserve">Emma Wilson</t>
  </si>
  <si>
    <t xml:space="preserve">e.wilson@solvay.com</t>
  </si>
  <si>
    <t xml:space="preserve">S06</t>
  </si>
  <si>
    <t xml:space="preserve">Nathalie Martin</t>
  </si>
  <si>
    <t xml:space="preserve">n.martin@solvay.com</t>
  </si>
  <si>
    <t xml:space="preserve">S07</t>
  </si>
  <si>
    <t xml:space="preserve">Lucia Romano</t>
  </si>
  <si>
    <t xml:space="preserve">l.romano@solvay.com</t>
  </si>
  <si>
    <t xml:space="preserve">S08</t>
  </si>
  <si>
    <t xml:space="preserve">Marco Ferretti</t>
  </si>
  <si>
    <t xml:space="preserve">m.ferretti@solvay.com</t>
  </si>
  <si>
    <t xml:space="preserve">S09</t>
  </si>
  <si>
    <t xml:space="preserve">Elena García</t>
  </si>
  <si>
    <t xml:space="preserve">e.garcia@solvay.com</t>
  </si>
  <si>
    <t xml:space="preserve">S10</t>
  </si>
  <si>
    <t xml:space="preserve">Jean-Paul Moreau</t>
  </si>
  <si>
    <t xml:space="preserve">jean-paul.moreau@solvay.com</t>
  </si>
  <si>
    <t xml:space="preserve">S11</t>
  </si>
  <si>
    <t xml:space="preserve">Sarah Vandenberghe</t>
  </si>
  <si>
    <t xml:space="preserve">s.vandenberghe@solvay.com</t>
  </si>
  <si>
    <t xml:space="preserve">S12</t>
  </si>
  <si>
    <t xml:space="preserve">Hans Fischer</t>
  </si>
  <si>
    <t xml:space="preserve">h.fischer@solvay.com</t>
  </si>
  <si>
    <t xml:space="preserve">EU REGULATORY COMPLIANCE TRACKER – DIRECTIVE (EU) 2023/1791 | ISO 50001 | ISO 14001</t>
  </si>
  <si>
    <t xml:space="preserve">ISO 50001 Status</t>
  </si>
  <si>
    <t xml:space="preserve">ISO 14001 Status</t>
  </si>
  <si>
    <t xml:space="preserve">Last Energy Audit</t>
  </si>
  <si>
    <t xml:space="preserve">Next Audit Due</t>
  </si>
  <si>
    <t xml:space="preserve">Audit Status</t>
  </si>
  <si>
    <t xml:space="preserve">EU Dir. 2023/1791 Compliance</t>
  </si>
  <si>
    <t xml:space="preserve">EnMS Implemented</t>
  </si>
  <si>
    <t xml:space="preserve">EMS Scope</t>
  </si>
  <si>
    <t xml:space="preserve">Responsible</t>
  </si>
  <si>
    <t xml:space="preserve">Comments</t>
  </si>
  <si>
    <t xml:space="preserve">2024</t>
  </si>
  <si>
    <t xml:space="preserve">2025</t>
  </si>
  <si>
    <t xml:space="preserve">Scheduled</t>
  </si>
  <si>
    <t xml:space="preserve">Gap Identified</t>
  </si>
  <si>
    <t xml:space="preserve">Yes</t>
  </si>
  <si>
    <t xml:space="preserve">Full Site</t>
  </si>
  <si>
    <t xml:space="preserve">On track</t>
  </si>
  <si>
    <t xml:space="preserve">Certified</t>
  </si>
  <si>
    <t xml:space="preserve">N/A</t>
  </si>
  <si>
    <t xml:space="preserve">2027</t>
  </si>
  <si>
    <t xml:space="preserve">Under Review</t>
  </si>
  <si>
    <t xml:space="preserve">No</t>
  </si>
  <si>
    <t xml:space="preserve">Not Defined</t>
  </si>
  <si>
    <t xml:space="preserve">Site Director</t>
  </si>
  <si>
    <t xml:space="preserve">Audit delayed</t>
  </si>
  <si>
    <t xml:space="preserve">Not Started</t>
  </si>
  <si>
    <t xml:space="preserve">Compliant</t>
  </si>
  <si>
    <t xml:space="preserve">Partial</t>
  </si>
  <si>
    <t xml:space="preserve">2023</t>
  </si>
  <si>
    <t xml:space="preserve">Not Required</t>
  </si>
  <si>
    <t xml:space="preserve">HSE Manager</t>
  </si>
  <si>
    <t xml:space="preserve">Certification renewal due</t>
  </si>
  <si>
    <t xml:space="preserve">2026</t>
  </si>
  <si>
    <t xml:space="preserve">Overdue</t>
  </si>
  <si>
    <t xml:space="preserve">New system deployed</t>
  </si>
  <si>
    <t xml:space="preserve">2022</t>
  </si>
  <si>
    <t xml:space="preserve">ENERGY EFFICIENCY STARTUP MATCHMAKING MATRIX</t>
  </si>
  <si>
    <t xml:space="preserve">Startup Name</t>
  </si>
  <si>
    <t xml:space="preserve">Solution Description</t>
  </si>
  <si>
    <t xml:space="preserve">Technology Category</t>
  </si>
  <si>
    <t xml:space="preserve">HQ Country</t>
  </si>
  <si>
    <t xml:space="preserve">Funding Stage</t>
  </si>
  <si>
    <t xml:space="preserve">Applicable Project Types</t>
  </si>
  <si>
    <t xml:space="preserve"># Matching Projects (DB)</t>
  </si>
  <si>
    <t xml:space="preserve">Potential Sites</t>
  </si>
  <si>
    <t xml:space="preserve">Match Score</t>
  </si>
  <si>
    <t xml:space="preserve">Recommended Action</t>
  </si>
  <si>
    <t xml:space="preserve">VoltAI</t>
  </si>
  <si>
    <t xml:space="preserve">AI-based energy monitoring</t>
  </si>
  <si>
    <t xml:space="preserve">Digital / IoT</t>
  </si>
  <si>
    <t xml:space="preserve">Seed</t>
  </si>
  <si>
    <t xml:space="preserve">Motor Upgrade, Process Optimization</t>
  </si>
  <si>
    <t xml:space="preserve">Monitor</t>
  </si>
  <si>
    <t xml:space="preserve">ThermoLoop</t>
  </si>
  <si>
    <t xml:space="preserve">Industrial heat recovery systems</t>
  </si>
  <si>
    <t xml:space="preserve">Series A</t>
  </si>
  <si>
    <t xml:space="preserve">Heat Recovery, Waste Heat Boiler</t>
  </si>
  <si>
    <t xml:space="preserve">AirWise</t>
  </si>
  <si>
    <t xml:space="preserve">Compressed air leak detection</t>
  </si>
  <si>
    <t xml:space="preserve">Compressed Air</t>
  </si>
  <si>
    <t xml:space="preserve">PowerSync</t>
  </si>
  <si>
    <t xml:space="preserve">Power factor correction units</t>
  </si>
  <si>
    <t xml:space="preserve">Power Quality</t>
  </si>
  <si>
    <t xml:space="preserve">Series B</t>
  </si>
  <si>
    <t xml:space="preserve">Pilot Recommended</t>
  </si>
  <si>
    <t xml:space="preserve">LumaTech</t>
  </si>
  <si>
    <t xml:space="preserve">Smart LED industrial lighting</t>
  </si>
  <si>
    <t xml:space="preserve">Lighting</t>
  </si>
  <si>
    <t xml:space="preserve">DriveFlow</t>
  </si>
  <si>
    <t xml:space="preserve">Variable speed drive retrofits</t>
  </si>
  <si>
    <t xml:space="preserve">Drives</t>
  </si>
  <si>
    <t xml:space="preserve">IsoShield</t>
  </si>
  <si>
    <t xml:space="preserve">Advanced insulation materials</t>
  </si>
  <si>
    <t xml:space="preserve">Insulation</t>
  </si>
  <si>
    <t xml:space="preserve">SteamIQ</t>
  </si>
  <si>
    <t xml:space="preserve">Steam system optimisation platform</t>
  </si>
  <si>
    <t xml:space="preserve">Steam</t>
  </si>
  <si>
    <t xml:space="preserve">MotorEdge</t>
  </si>
  <si>
    <t xml:space="preserve">High-efficiency motor solutions</t>
  </si>
  <si>
    <t xml:space="preserve">Motors</t>
  </si>
  <si>
    <t xml:space="preserve">Assess Further</t>
  </si>
  <si>
    <t xml:space="preserve">DataEnergy</t>
  </si>
  <si>
    <t xml:space="preserve">Energy analytics &amp; reporting</t>
  </si>
  <si>
    <t xml:space="preserve">Process Optimization, Compressed Air Efficiency</t>
  </si>
  <si>
    <t xml:space="preserve">TECHNO-ECONOMIC EVALUATION TOOL</t>
  </si>
  <si>
    <t xml:space="preserve">Enter project inputs (blue cells) → outputs calculated automatically</t>
  </si>
  <si>
    <t xml:space="preserve">INPUTS</t>
  </si>
  <si>
    <t xml:space="preserve">My Energy Project</t>
  </si>
  <si>
    <t xml:space="preserve">Technology Type</t>
  </si>
  <si>
    <t xml:space="preserve">Investment Cost (k€)</t>
  </si>
  <si>
    <t xml:space="preserve">k€</t>
  </si>
  <si>
    <t xml:space="preserve">Annual Energy Savings (MWh/yr)</t>
  </si>
  <si>
    <t xml:space="preserve">MWh/yr</t>
  </si>
  <si>
    <t xml:space="preserve">Energy Unit Cost (€/MWh)</t>
  </si>
  <si>
    <t xml:space="preserve">€/MWh</t>
  </si>
  <si>
    <t xml:space="preserve">Project Lifetime (yrs)</t>
  </si>
  <si>
    <t xml:space="preserve">yrs</t>
  </si>
  <si>
    <t xml:space="preserve">Discount Rate (%)</t>
  </si>
  <si>
    <t xml:space="preserve">%</t>
  </si>
  <si>
    <t xml:space="preserve">CO2 Emission Factor (tCO2/MWh)</t>
  </si>
  <si>
    <t xml:space="preserve">tCO2/MWh</t>
  </si>
  <si>
    <t xml:space="preserve">CALCULATED OUTPUTS</t>
  </si>
  <si>
    <t xml:space="preserve">Annual Cost Savings (k€/yr)</t>
  </si>
  <si>
    <t xml:space="preserve">k€/yr</t>
  </si>
  <si>
    <t xml:space="preserve">Simple Payback Period (yrs)</t>
  </si>
  <si>
    <t xml:space="preserve">Total Lifetime Savings (k€)</t>
  </si>
  <si>
    <t xml:space="preserve">Net Present Value (k€)</t>
  </si>
  <si>
    <t xml:space="preserve">Internal Rate of Return (%)</t>
  </si>
  <si>
    <t xml:space="preserve">CO2 Reduction (tCO2/yr)</t>
  </si>
  <si>
    <t xml:space="preserve">tCO2/yr</t>
  </si>
  <si>
    <t xml:space="preserve">CO2 Reduction over Lifetime (tCO2)</t>
  </si>
  <si>
    <t xml:space="preserve">tCO2</t>
  </si>
  <si>
    <t xml:space="preserve">€ saved per tCO2 (€/tCO2)</t>
  </si>
  <si>
    <t xml:space="preserve">€/tCO2</t>
  </si>
  <si>
    <t xml:space="preserve">USER GUIDE &amp; LEGEND</t>
  </si>
  <si>
    <t xml:space="preserve">SHEET DESCRIPTIONS</t>
  </si>
  <si>
    <t xml:space="preserve">📊 Dashboard</t>
  </si>
  <si>
    <t xml:space="preserve">Auto-calculated KPI summary. Do not edit formula cells. Refresh by updating Projects sheet.</t>
  </si>
  <si>
    <t xml:space="preserve">📋 Projects</t>
  </si>
  <si>
    <t xml:space="preserve">Main database. Add rows below existing data. Blue cells = inputs. Use dropdown for Status &amp; Priority.</t>
  </si>
  <si>
    <t xml:space="preserve">🏭 Sites</t>
  </si>
  <si>
    <t xml:space="preserve">Master site list. Energy consumption &amp; baseline year are manual inputs (blue). Totals auto-update.</t>
  </si>
  <si>
    <t xml:space="preserve">📋 Regulatory</t>
  </si>
  <si>
    <t xml:space="preserve">EU compliance tracker. Update status fields as audits/certifications progress.</t>
  </si>
  <si>
    <t xml:space="preserve">🚀 Startup Matchmaking</t>
  </si>
  <si>
    <t xml:space="preserve">Startup evaluation matrix. Add new startups or update match scores as evaluations complete.</t>
  </si>
  <si>
    <t xml:space="preserve">🧮 TechEco Calculator</t>
  </si>
  <si>
    <t xml:space="preserve">Input project parameters in blue cells. All financial outputs recalculate automatically.</t>
  </si>
  <si>
    <t xml:space="preserve">COLOR CODING CONVENTION</t>
  </si>
  <si>
    <t xml:space="preserve">Blue text</t>
  </si>
  <si>
    <t xml:space="preserve">Hardcoded inputs – values you can change</t>
  </si>
  <si>
    <t xml:space="preserve">Black text</t>
  </si>
  <si>
    <t xml:space="preserve">Formulas / calculated values – do not overwrite</t>
  </si>
  <si>
    <t xml:space="preserve">Green text</t>
  </si>
  <si>
    <t xml:space="preserve">Cross-sheet links – auto-updated</t>
  </si>
  <si>
    <t xml:space="preserve">Green background</t>
  </si>
  <si>
    <t xml:space="preserve">Completed / Compliant status</t>
  </si>
  <si>
    <t xml:space="preserve">Yellow background</t>
  </si>
  <si>
    <t xml:space="preserve">In Progress / Partial status</t>
  </si>
  <si>
    <t xml:space="preserve">Red background</t>
  </si>
  <si>
    <t xml:space="preserve">Gap Identified / Overdue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</si>
</sst>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General"/>
    <numFmt numFmtId="167" formatCode="0.0%"/>
    <numFmt numFmtId="168" formatCode="0.00"/>
    <numFmt numFmtId="169" formatCode="0.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BDD7E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B05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00B0A0"/>
        <bgColor rgb="FF00B050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D9D9D9"/>
        <bgColor rgb="FFBDD7EE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9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D0F10F"/>
          <bgColor rgb="FF000000"/>
        </patternFill>
      </fill>
    </dxf>
    <dxf>
      <fill>
        <patternFill patternType="solid">
          <fgColor rgb="FFDEF50A"/>
          <bgColor rgb="FF000000"/>
        </patternFill>
      </fill>
    </dxf>
    <dxf>
      <fill>
        <patternFill patternType="solid">
          <fgColor rgb="FFE9F907"/>
          <bgColor rgb="FF000000"/>
        </patternFill>
      </fill>
    </dxf>
    <dxf>
      <fill>
        <patternFill patternType="solid">
          <fgColor rgb="FFEBF906"/>
          <bgColor rgb="FF000000"/>
        </patternFill>
      </fill>
    </dxf>
    <dxf>
      <fill>
        <patternFill patternType="solid">
          <fgColor rgb="FFEDFA05"/>
          <bgColor rgb="FF000000"/>
        </patternFill>
      </fill>
    </dxf>
    <dxf>
      <fill>
        <patternFill patternType="solid">
          <fgColor rgb="FFF3FC03"/>
          <bgColor rgb="FF000000"/>
        </patternFill>
      </fill>
    </dxf>
    <dxf>
      <fill>
        <patternFill patternType="solid">
          <fgColor rgb="FFF4FC03"/>
          <bgColor rgb="FF000000"/>
        </patternFill>
      </fill>
    </dxf>
    <dxf>
      <fill>
        <patternFill patternType="solid">
          <fgColor rgb="FFF5FC03"/>
          <bgColor rgb="FF000000"/>
        </patternFill>
      </fill>
    </dxf>
    <dxf>
      <fill>
        <patternFill patternType="solid">
          <fgColor rgb="FFF8FD02"/>
          <bgColor rgb="FF000000"/>
        </patternFill>
      </fill>
    </dxf>
    <dxf>
      <fill>
        <patternFill patternType="solid">
          <fgColor rgb="FFFAFE01"/>
          <bgColor rgb="FF000000"/>
        </patternFill>
      </fill>
    </dxf>
    <dxf>
      <fill>
        <patternFill patternType="solid">
          <fgColor rgb="FFFBFE01"/>
          <bgColor rgb="FF000000"/>
        </patternFill>
      </fill>
    </dxf>
    <dxf>
      <fill>
        <patternFill patternType="solid">
          <fgColor rgb="FFFDFF00"/>
          <bgColor rgb="FF000000"/>
        </patternFill>
      </fill>
    </dxf>
    <dxf>
      <fill>
        <patternFill patternType="solid">
          <fgColor rgb="FFFE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A00"/>
          <bgColor rgb="FF000000"/>
        </patternFill>
      </fill>
    </dxf>
    <dxf>
      <fill>
        <patternFill patternType="solid">
          <fgColor rgb="FFFF1100"/>
          <bgColor rgb="FF000000"/>
        </patternFill>
      </fill>
    </dxf>
    <dxf>
      <fill>
        <patternFill patternType="solid">
          <fgColor rgb="FFFF1900"/>
          <bgColor rgb="FF000000"/>
        </patternFill>
      </fill>
    </dxf>
    <dxf>
      <fill>
        <patternFill patternType="solid">
          <fgColor rgb="FFFF2000"/>
          <bgColor rgb="FF000000"/>
        </patternFill>
      </fill>
    </dxf>
    <dxf>
      <fill>
        <patternFill patternType="solid">
          <fgColor rgb="FFFF2500"/>
          <bgColor rgb="FF000000"/>
        </patternFill>
      </fill>
    </dxf>
    <dxf>
      <fill>
        <patternFill patternType="solid">
          <fgColor rgb="FFFF2800"/>
          <bgColor rgb="FF000000"/>
        </patternFill>
      </fill>
    </dxf>
    <dxf>
      <fill>
        <patternFill patternType="solid">
          <fgColor rgb="FFFF3E00"/>
          <bgColor rgb="FF000000"/>
        </patternFill>
      </fill>
    </dxf>
    <dxf>
      <fill>
        <patternFill patternType="solid">
          <fgColor rgb="FFFF5700"/>
          <bgColor rgb="FF000000"/>
        </patternFill>
      </fill>
    </dxf>
    <dxf>
      <fill>
        <patternFill patternType="solid">
          <fgColor rgb="FFFF5C00"/>
          <bgColor rgb="FF000000"/>
        </patternFill>
      </fill>
    </dxf>
    <dxf>
      <fill>
        <patternFill patternType="solid">
          <fgColor rgb="FFFF6100"/>
          <bgColor rgb="FF000000"/>
        </patternFill>
      </fill>
    </dxf>
    <dxf>
      <fill>
        <patternFill patternType="solid">
          <fgColor rgb="FFFF7000"/>
          <bgColor rgb="FF000000"/>
        </patternFill>
      </fill>
    </dxf>
    <dxf>
      <fill>
        <patternFill patternType="solid">
          <fgColor rgb="FFFF8900"/>
          <bgColor rgb="FF000000"/>
        </patternFill>
      </fill>
    </dxf>
    <dxf>
      <fill>
        <patternFill patternType="solid">
          <fgColor rgb="FFFF9D00"/>
          <bgColor rgb="FF000000"/>
        </patternFill>
      </fill>
    </dxf>
    <dxf>
      <fill>
        <patternFill patternType="solid">
          <fgColor rgb="FFFFAF00"/>
          <bgColor rgb="FF000000"/>
        </patternFill>
      </fill>
    </dxf>
    <dxf>
      <fill>
        <patternFill patternType="solid">
          <fgColor rgb="FFFFB900"/>
          <bgColor rgb="FF000000"/>
        </patternFill>
      </fill>
    </dxf>
    <dxf>
      <fill>
        <patternFill patternType="solid">
          <fgColor rgb="FFFFCD00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FFDE00"/>
          <bgColor rgb="FF000000"/>
        </patternFill>
      </fill>
    </dxf>
    <dxf>
      <fill>
        <patternFill patternType="solid">
          <fgColor rgb="FFFFE100"/>
          <bgColor rgb="FF000000"/>
        </patternFill>
      </fill>
    </dxf>
    <dxf>
      <fill>
        <patternFill patternType="solid">
          <fgColor rgb="FFFFF200"/>
          <bgColor rgb="FF000000"/>
        </patternFill>
      </fill>
    </dxf>
    <dxf>
      <fill>
        <patternFill patternType="solid">
          <fgColor rgb="FFFFF500"/>
          <bgColor rgb="FF000000"/>
        </patternFill>
      </fill>
    </dxf>
    <dxf>
      <fill>
        <patternFill patternType="solid">
          <fgColor rgb="FFFFF7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1F3864"/>
      </font>
      <fill>
        <patternFill>
          <bgColor rgb="FFDDEBF7"/>
        </patternFill>
      </fill>
    </dxf>
    <dxf>
      <font>
        <color rgb="FF843C0C"/>
      </font>
      <fill>
        <patternFill>
          <bgColor rgb="FFFCE4D6"/>
        </patternFill>
      </fill>
    </dxf>
    <dxf>
      <fill>
        <patternFill patternType="solid">
          <fgColor rgb="FF00B0A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5700"/>
      <rgbColor rgb="FF800080"/>
      <rgbColor rgb="FF008080"/>
      <rgbColor rgb="FFD9D9D9"/>
      <rgbColor rgb="FF808080"/>
      <rgbColor rgb="FF9999FF"/>
      <rgbColor rgb="FF7030A0"/>
      <rgbColor rgb="FFF2F2F2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EBF3FB"/>
      <rgbColor rgb="FFC6EFCE"/>
      <rgbColor rgb="FFFFEB9C"/>
      <rgbColor rgb="FF99CCFF"/>
      <rgbColor rgb="FFFCE4D6"/>
      <rgbColor rgb="FFCC99FF"/>
      <rgbColor rgb="FFFFC7CE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00B050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6" min="14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30" hidden="false" customHeight="true" outlineLevel="0" collapsed="false">
      <c r="A5" s="4" t="s">
        <v>3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  <c r="I5" s="4" t="s">
        <v>7</v>
      </c>
      <c r="J5" s="4"/>
      <c r="K5" s="4" t="s">
        <v>8</v>
      </c>
      <c r="L5" s="4"/>
      <c r="M5" s="4" t="s">
        <v>9</v>
      </c>
      <c r="N5" s="4"/>
      <c r="O5" s="4" t="s">
        <v>10</v>
      </c>
      <c r="P5" s="4"/>
    </row>
    <row r="6" customFormat="false" ht="39.75" hidden="false" customHeight="true" outlineLevel="0" collapsed="false">
      <c r="A6" s="5" t="n">
        <f aca="false">COUNTA('📋 Projects'!A2:A500)-COUNTBLANK('📋 Projects'!A2:A500)</f>
        <v>-385</v>
      </c>
      <c r="B6" s="5"/>
      <c r="C6" s="5" t="n">
        <f aca="false">COUNTA('🏭 Sites'!A2:A20)-COUNTBLANK('🏭 Sites'!A2:A20)</f>
        <v>7</v>
      </c>
      <c r="D6" s="5"/>
      <c r="E6" s="5" t="n">
        <f aca="false">SUM('📋 Projects'!I2:I500)</f>
        <v>60730</v>
      </c>
      <c r="F6" s="5"/>
      <c r="G6" s="5" t="n">
        <f aca="false">SUM('📋 Projects'!J2:J500)</f>
        <v>24907</v>
      </c>
      <c r="H6" s="5"/>
      <c r="I6" s="5" t="n">
        <f aca="false">SUM('📋 Projects'!K2:K500)</f>
        <v>6207</v>
      </c>
      <c r="J6" s="5"/>
      <c r="K6" s="5" t="n">
        <f aca="false">SUM('📋 Projects'!L2:L500)</f>
        <v>7.77</v>
      </c>
      <c r="L6" s="5"/>
      <c r="M6" s="5" t="n">
        <f aca="false">IFERROR(AVERAGE('📋 Projects'!M2:M500),0)</f>
        <v>20.8428571428571</v>
      </c>
      <c r="N6" s="5"/>
      <c r="O6" s="5" t="n">
        <f aca="false">COUNTIF('📋 Projects'!G2:G500,"Completed")</f>
        <v>15</v>
      </c>
      <c r="P6" s="5"/>
    </row>
    <row r="8" customFormat="false" ht="15" hidden="false" customHeight="true" outlineLevel="0" collapsed="false">
      <c r="A8" s="6" t="s">
        <v>11</v>
      </c>
      <c r="B8" s="6"/>
      <c r="C8" s="6"/>
      <c r="D8" s="6"/>
      <c r="E8" s="6"/>
      <c r="F8" s="6"/>
      <c r="G8" s="6"/>
      <c r="H8" s="6"/>
      <c r="J8" s="7" t="s">
        <v>12</v>
      </c>
      <c r="K8" s="7"/>
      <c r="L8" s="7"/>
      <c r="M8" s="7"/>
      <c r="N8" s="7"/>
      <c r="O8" s="7"/>
      <c r="P8" s="7"/>
    </row>
    <row r="9" customFormat="false" ht="35.05" hidden="false" customHeight="false" outlineLevel="0" collapsed="false">
      <c r="A9" s="8" t="s">
        <v>13</v>
      </c>
      <c r="B9" s="8" t="s">
        <v>14</v>
      </c>
      <c r="C9" s="8" t="s">
        <v>15</v>
      </c>
      <c r="D9" s="8" t="s">
        <v>16</v>
      </c>
      <c r="E9" s="8" t="s">
        <v>17</v>
      </c>
      <c r="F9" s="8" t="s">
        <v>18</v>
      </c>
      <c r="J9" s="9" t="s">
        <v>19</v>
      </c>
      <c r="K9" s="9" t="s">
        <v>14</v>
      </c>
      <c r="L9" s="9" t="s">
        <v>20</v>
      </c>
      <c r="M9" s="9" t="s">
        <v>21</v>
      </c>
    </row>
    <row r="10" customFormat="false" ht="15" hidden="false" customHeight="false" outlineLevel="0" collapsed="false">
      <c r="A10" s="10" t="s">
        <v>22</v>
      </c>
      <c r="B10" s="11" t="n">
        <f aca="false">COUNTIF('📋 Projects'!G:G,A10)</f>
        <v>15</v>
      </c>
      <c r="C10" s="11" t="n">
        <f aca="false">SUMIF('📋 Projects'!G:G,A10,'📋 Projects'!I:I)</f>
        <v>16748</v>
      </c>
      <c r="D10" s="11" t="n">
        <f aca="false">SUMIF('📋 Projects'!G:G,A10,'📋 Projects'!J:J)</f>
        <v>7684</v>
      </c>
      <c r="E10" s="11" t="n">
        <f aca="false">SUMIF('📋 Projects'!G:G,A10,'📋 Projects'!K:K)</f>
        <v>1620</v>
      </c>
      <c r="F10" s="12" t="n">
        <f aca="false">IFERROR(B10/SUM($B$10:$B$13),0)</f>
        <v>0.267857142857143</v>
      </c>
      <c r="J10" s="13" t="s">
        <v>23</v>
      </c>
      <c r="K10" s="14" t="n">
        <f aca="false">COUNTIF('📋 Projects'!P:P,J10)</f>
        <v>32</v>
      </c>
      <c r="L10" s="14" t="n">
        <f aca="false">IFERROR(AVERAGEIF('📋 Projects'!P:P,J10,'📋 Projects'!I:I),0)</f>
        <v>1038.25</v>
      </c>
      <c r="M10" s="14" t="n">
        <f aca="false">IFERROR(AVERAGEIF('📋 Projects'!P:P,J10,'📋 Projects'!K:K),0)</f>
        <v>156.4375</v>
      </c>
    </row>
    <row r="11" customFormat="false" ht="15" hidden="false" customHeight="false" outlineLevel="0" collapsed="false">
      <c r="A11" s="10" t="s">
        <v>24</v>
      </c>
      <c r="B11" s="11" t="n">
        <f aca="false">COUNTIF('📋 Projects'!G:G,A11)</f>
        <v>16</v>
      </c>
      <c r="C11" s="11" t="n">
        <f aca="false">SUMIF('📋 Projects'!G:G,A11,'📋 Projects'!I:I)</f>
        <v>18041</v>
      </c>
      <c r="D11" s="11" t="n">
        <f aca="false">SUMIF('📋 Projects'!G:G,A11,'📋 Projects'!J:J)</f>
        <v>7067</v>
      </c>
      <c r="E11" s="11" t="n">
        <f aca="false">SUMIF('📋 Projects'!G:G,A11,'📋 Projects'!K:K)</f>
        <v>1646</v>
      </c>
      <c r="F11" s="12" t="n">
        <f aca="false">IFERROR(B11/SUM($B$10:$B$13),0)</f>
        <v>0.285714285714286</v>
      </c>
      <c r="J11" s="15" t="s">
        <v>25</v>
      </c>
      <c r="K11" s="14" t="n">
        <f aca="false">COUNTIF('📋 Projects'!P:P,J11)</f>
        <v>13</v>
      </c>
      <c r="L11" s="14" t="n">
        <f aca="false">IFERROR(AVERAGEIF('📋 Projects'!P:P,J11,'📋 Projects'!I:I),0)</f>
        <v>1120.46153846154</v>
      </c>
      <c r="M11" s="14" t="n">
        <f aca="false">IFERROR(AVERAGEIF('📋 Projects'!P:P,J11,'📋 Projects'!K:K),0)</f>
        <v>72.7692307692308</v>
      </c>
    </row>
    <row r="12" customFormat="false" ht="15" hidden="false" customHeight="false" outlineLevel="0" collapsed="false">
      <c r="A12" s="10" t="s">
        <v>26</v>
      </c>
      <c r="B12" s="11" t="n">
        <f aca="false">COUNTIF('📋 Projects'!G:G,A12)</f>
        <v>12</v>
      </c>
      <c r="C12" s="11" t="n">
        <f aca="false">SUMIF('📋 Projects'!G:G,A12,'📋 Projects'!I:I)</f>
        <v>14805</v>
      </c>
      <c r="D12" s="11" t="n">
        <f aca="false">SUMIF('📋 Projects'!G:G,A12,'📋 Projects'!J:J)</f>
        <v>5239</v>
      </c>
      <c r="E12" s="11" t="n">
        <f aca="false">SUMIF('📋 Projects'!G:G,A12,'📋 Projects'!K:K)</f>
        <v>1519</v>
      </c>
      <c r="F12" s="12" t="n">
        <f aca="false">IFERROR(B12/SUM($B$10:$B$13),0)</f>
        <v>0.214285714285714</v>
      </c>
      <c r="J12" s="16" t="s">
        <v>27</v>
      </c>
      <c r="K12" s="14" t="n">
        <f aca="false">COUNTIF('📋 Projects'!P:P,J12)</f>
        <v>11</v>
      </c>
      <c r="L12" s="14" t="n">
        <f aca="false">IFERROR(AVERAGEIF('📋 Projects'!P:P,J12,'📋 Projects'!I:I),0)</f>
        <v>1176.36363636364</v>
      </c>
      <c r="M12" s="14" t="n">
        <f aca="false">IFERROR(AVERAGEIF('📋 Projects'!P:P,J12,'📋 Projects'!K:K),0)</f>
        <v>23.1818181818182</v>
      </c>
    </row>
    <row r="13" customFormat="false" ht="15" hidden="false" customHeight="false" outlineLevel="0" collapsed="false">
      <c r="A13" s="10" t="s">
        <v>28</v>
      </c>
      <c r="B13" s="11" t="n">
        <f aca="false">COUNTIF('📋 Projects'!G:G,A13)</f>
        <v>13</v>
      </c>
      <c r="C13" s="11" t="n">
        <f aca="false">SUMIF('📋 Projects'!G:G,A13,'📋 Projects'!I:I)</f>
        <v>11136</v>
      </c>
      <c r="D13" s="11" t="n">
        <f aca="false">SUMIF('📋 Projects'!G:G,A13,'📋 Projects'!J:J)</f>
        <v>4917</v>
      </c>
      <c r="E13" s="11" t="n">
        <f aca="false">SUMIF('📋 Projects'!G:G,A13,'📋 Projects'!K:K)</f>
        <v>1422</v>
      </c>
      <c r="F13" s="12" t="n">
        <f aca="false">IFERROR(B13/SUM($B$10:$B$13),0)</f>
        <v>0.232142857142857</v>
      </c>
    </row>
    <row r="15" customFormat="false" ht="24" hidden="false" customHeight="true" outlineLevel="0" collapsed="false">
      <c r="A15" s="3" t="s">
        <v>29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23.85" hidden="false" customHeight="false" outlineLevel="0" collapsed="false">
      <c r="A16" s="17" t="s">
        <v>30</v>
      </c>
      <c r="B16" s="17" t="s">
        <v>31</v>
      </c>
      <c r="C16" s="17" t="s">
        <v>32</v>
      </c>
      <c r="D16" s="17" t="s">
        <v>33</v>
      </c>
      <c r="E16" s="17" t="s">
        <v>15</v>
      </c>
      <c r="F16" s="17" t="s">
        <v>34</v>
      </c>
      <c r="G16" s="17" t="s">
        <v>35</v>
      </c>
      <c r="H16" s="17" t="s">
        <v>36</v>
      </c>
      <c r="I16" s="17" t="s">
        <v>37</v>
      </c>
      <c r="J16" s="17" t="s">
        <v>38</v>
      </c>
      <c r="K16" s="17" t="s">
        <v>39</v>
      </c>
      <c r="L16" s="17" t="s">
        <v>40</v>
      </c>
    </row>
    <row r="17" customFormat="false" ht="15" hidden="false" customHeight="false" outlineLevel="0" collapsed="false">
      <c r="A17" s="18" t="s">
        <v>41</v>
      </c>
      <c r="B17" s="19" t="s">
        <v>42</v>
      </c>
      <c r="C17" s="19" t="s">
        <v>43</v>
      </c>
      <c r="D17" s="20" t="n">
        <f aca="false">COUNTIF('📋 Projects'!B:B,A17)</f>
        <v>3</v>
      </c>
      <c r="E17" s="21" t="n">
        <f aca="false">SUMIF('📋 Projects'!B:B,A17,'📋 Projects'!I:I)</f>
        <v>2028</v>
      </c>
      <c r="F17" s="21" t="n">
        <f aca="false">SUMIF('📋 Projects'!B:B,A17,'📋 Projects'!J:J)</f>
        <v>1854</v>
      </c>
      <c r="G17" s="21" t="n">
        <f aca="false">SUMIF('📋 Projects'!B:B,A17,'📋 Projects'!K:K)</f>
        <v>87</v>
      </c>
      <c r="H17" s="22" t="n">
        <f aca="false">SUMIF('📋 Projects'!B:B,A17,'📋 Projects'!L:L)</f>
        <v>0.57</v>
      </c>
      <c r="I17" s="23" t="n">
        <f aca="false">IFERROR(AVERAGEIF('📋 Projects'!B:B,A17,'📋 Projects'!M:M),0)</f>
        <v>84.1333333333333</v>
      </c>
      <c r="J17" s="20" t="n">
        <f aca="false">COUNTIFS('📋 Projects'!B:B,A17,'📋 Projects'!G:G,"Completed")</f>
        <v>1</v>
      </c>
      <c r="K17" s="20" t="str">
        <f aca="false">IFERROR(INDEX('📋 Regulatory'!E:E,MATCH(A17,'📋 Regulatory'!A:A,0)),"-")</f>
        <v>Planned</v>
      </c>
      <c r="L17" s="20" t="str">
        <f aca="false">IFERROR(INDEX('📋 Regulatory'!I:I,MATCH(A17,'📋 Regulatory'!A:A,0)),"-")</f>
        <v>Gap Identified</v>
      </c>
    </row>
    <row r="18" customFormat="false" ht="15" hidden="false" customHeight="false" outlineLevel="0" collapsed="false">
      <c r="A18" s="24" t="s">
        <v>44</v>
      </c>
      <c r="B18" s="25" t="s">
        <v>45</v>
      </c>
      <c r="C18" s="25" t="s">
        <v>46</v>
      </c>
      <c r="D18" s="26" t="n">
        <f aca="false">COUNTIF('📋 Projects'!B:B,A18)</f>
        <v>5</v>
      </c>
      <c r="E18" s="27" t="n">
        <f aca="false">SUMIF('📋 Projects'!B:B,A18,'📋 Projects'!I:I)</f>
        <v>7230</v>
      </c>
      <c r="F18" s="27" t="n">
        <f aca="false">SUMIF('📋 Projects'!B:B,A18,'📋 Projects'!J:J)</f>
        <v>2458</v>
      </c>
      <c r="G18" s="27" t="n">
        <f aca="false">SUMIF('📋 Projects'!B:B,A18,'📋 Projects'!K:K)</f>
        <v>627</v>
      </c>
      <c r="H18" s="28" t="n">
        <f aca="false">SUMIF('📋 Projects'!B:B,A18,'📋 Projects'!L:L)</f>
        <v>1</v>
      </c>
      <c r="I18" s="29" t="n">
        <f aca="false">IFERROR(AVERAGEIF('📋 Projects'!B:B,A18,'📋 Projects'!M:M),0)</f>
        <v>12.36</v>
      </c>
      <c r="J18" s="26" t="n">
        <f aca="false">COUNTIFS('📋 Projects'!B:B,A18,'📋 Projects'!G:G,"Completed")</f>
        <v>0</v>
      </c>
      <c r="K18" s="26" t="str">
        <f aca="false">IFERROR(INDEX('📋 Regulatory'!E:E,MATCH(A18,'📋 Regulatory'!A:A,0)),"-")</f>
        <v>Certified</v>
      </c>
      <c r="L18" s="26" t="str">
        <f aca="false">IFERROR(INDEX('📋 Regulatory'!I:I,MATCH(A18,'📋 Regulatory'!A:A,0)),"-")</f>
        <v>Under Review</v>
      </c>
    </row>
    <row r="19" customFormat="false" ht="15" hidden="false" customHeight="false" outlineLevel="0" collapsed="false">
      <c r="A19" s="18" t="s">
        <v>47</v>
      </c>
      <c r="B19" s="19" t="s">
        <v>48</v>
      </c>
      <c r="C19" s="19" t="s">
        <v>49</v>
      </c>
      <c r="D19" s="20" t="n">
        <f aca="false">COUNTIF('📋 Projects'!B:B,A19)</f>
        <v>5</v>
      </c>
      <c r="E19" s="21" t="n">
        <f aca="false">SUMIF('📋 Projects'!B:B,A19,'📋 Projects'!I:I)</f>
        <v>5008</v>
      </c>
      <c r="F19" s="21" t="n">
        <f aca="false">SUMIF('📋 Projects'!B:B,A19,'📋 Projects'!J:J)</f>
        <v>2343</v>
      </c>
      <c r="G19" s="21" t="n">
        <f aca="false">SUMIF('📋 Projects'!B:B,A19,'📋 Projects'!K:K)</f>
        <v>418</v>
      </c>
      <c r="H19" s="22" t="n">
        <f aca="false">SUMIF('📋 Projects'!B:B,A19,'📋 Projects'!L:L)</f>
        <v>0.63</v>
      </c>
      <c r="I19" s="23" t="n">
        <f aca="false">IFERROR(AVERAGEIF('📋 Projects'!B:B,A19,'📋 Projects'!M:M),0)</f>
        <v>11.66</v>
      </c>
      <c r="J19" s="20" t="n">
        <f aca="false">COUNTIFS('📋 Projects'!B:B,A19,'📋 Projects'!G:G,"Completed")</f>
        <v>1</v>
      </c>
      <c r="K19" s="20" t="str">
        <f aca="false">IFERROR(INDEX('📋 Regulatory'!E:E,MATCH(A19,'📋 Regulatory'!A:A,0)),"-")</f>
        <v>In Progress</v>
      </c>
      <c r="L19" s="20" t="str">
        <f aca="false">IFERROR(INDEX('📋 Regulatory'!I:I,MATCH(A19,'📋 Regulatory'!A:A,0)),"-")</f>
        <v>Compliant</v>
      </c>
    </row>
    <row r="20" customFormat="false" ht="15" hidden="false" customHeight="false" outlineLevel="0" collapsed="false">
      <c r="A20" s="24" t="s">
        <v>50</v>
      </c>
      <c r="B20" s="25" t="s">
        <v>51</v>
      </c>
      <c r="C20" s="25" t="s">
        <v>52</v>
      </c>
      <c r="D20" s="26" t="n">
        <f aca="false">COUNTIF('📋 Projects'!B:B,A20)</f>
        <v>3</v>
      </c>
      <c r="E20" s="27" t="n">
        <f aca="false">SUMIF('📋 Projects'!B:B,A20,'📋 Projects'!I:I)</f>
        <v>4126</v>
      </c>
      <c r="F20" s="27" t="n">
        <f aca="false">SUMIF('📋 Projects'!B:B,A20,'📋 Projects'!J:J)</f>
        <v>890</v>
      </c>
      <c r="G20" s="27" t="n">
        <f aca="false">SUMIF('📋 Projects'!B:B,A20,'📋 Projects'!K:K)</f>
        <v>346</v>
      </c>
      <c r="H20" s="28" t="n">
        <f aca="false">SUMIF('📋 Projects'!B:B,A20,'📋 Projects'!L:L)</f>
        <v>0.3</v>
      </c>
      <c r="I20" s="29" t="n">
        <f aca="false">IFERROR(AVERAGEIF('📋 Projects'!B:B,A20,'📋 Projects'!M:M),0)</f>
        <v>14.3333333333333</v>
      </c>
      <c r="J20" s="26" t="n">
        <f aca="false">COUNTIFS('📋 Projects'!B:B,A20,'📋 Projects'!G:G,"Completed")</f>
        <v>0</v>
      </c>
      <c r="K20" s="26" t="str">
        <f aca="false">IFERROR(INDEX('📋 Regulatory'!E:E,MATCH(A20,'📋 Regulatory'!A:A,0)),"-")</f>
        <v>Certified</v>
      </c>
      <c r="L20" s="26" t="str">
        <f aca="false">IFERROR(INDEX('📋 Regulatory'!I:I,MATCH(A20,'📋 Regulatory'!A:A,0)),"-")</f>
        <v>Partial</v>
      </c>
    </row>
    <row r="21" customFormat="false" ht="15" hidden="false" customHeight="false" outlineLevel="0" collapsed="false">
      <c r="A21" s="18" t="s">
        <v>53</v>
      </c>
      <c r="B21" s="19" t="s">
        <v>54</v>
      </c>
      <c r="C21" s="19" t="s">
        <v>46</v>
      </c>
      <c r="D21" s="20" t="n">
        <f aca="false">COUNTIF('📋 Projects'!B:B,A21)</f>
        <v>5</v>
      </c>
      <c r="E21" s="21" t="n">
        <f aca="false">SUMIF('📋 Projects'!B:B,A21,'📋 Projects'!I:I)</f>
        <v>4258</v>
      </c>
      <c r="F21" s="21" t="n">
        <f aca="false">SUMIF('📋 Projects'!B:B,A21,'📋 Projects'!J:J)</f>
        <v>2141</v>
      </c>
      <c r="G21" s="21" t="n">
        <f aca="false">SUMIF('📋 Projects'!B:B,A21,'📋 Projects'!K:K)</f>
        <v>587</v>
      </c>
      <c r="H21" s="22" t="n">
        <f aca="false">SUMIF('📋 Projects'!B:B,A21,'📋 Projects'!L:L)</f>
        <v>0.7</v>
      </c>
      <c r="I21" s="23" t="n">
        <f aca="false">IFERROR(AVERAGEIF('📋 Projects'!B:B,A21,'📋 Projects'!M:M),0)</f>
        <v>19.78</v>
      </c>
      <c r="J21" s="20" t="n">
        <f aca="false">COUNTIFS('📋 Projects'!B:B,A21,'📋 Projects'!G:G,"Completed")</f>
        <v>1</v>
      </c>
      <c r="K21" s="20" t="str">
        <f aca="false">IFERROR(INDEX('📋 Regulatory'!E:E,MATCH(A21,'📋 Regulatory'!A:A,0)),"-")</f>
        <v>In Progress</v>
      </c>
      <c r="L21" s="20" t="str">
        <f aca="false">IFERROR(INDEX('📋 Regulatory'!I:I,MATCH(A21,'📋 Regulatory'!A:A,0)),"-")</f>
        <v>Partial</v>
      </c>
    </row>
    <row r="22" customFormat="false" ht="15" hidden="false" customHeight="false" outlineLevel="0" collapsed="false">
      <c r="A22" s="24" t="s">
        <v>55</v>
      </c>
      <c r="B22" s="25" t="s">
        <v>42</v>
      </c>
      <c r="C22" s="25" t="s">
        <v>56</v>
      </c>
      <c r="D22" s="26" t="n">
        <f aca="false">COUNTIF('📋 Projects'!B:B,A22)</f>
        <v>3</v>
      </c>
      <c r="E22" s="27" t="n">
        <f aca="false">SUMIF('📋 Projects'!B:B,A22,'📋 Projects'!I:I)</f>
        <v>2589</v>
      </c>
      <c r="F22" s="27" t="n">
        <f aca="false">SUMIF('📋 Projects'!B:B,A22,'📋 Projects'!J:J)</f>
        <v>1071</v>
      </c>
      <c r="G22" s="27" t="n">
        <f aca="false">SUMIF('📋 Projects'!B:B,A22,'📋 Projects'!K:K)</f>
        <v>384</v>
      </c>
      <c r="H22" s="28" t="n">
        <f aca="false">SUMIF('📋 Projects'!B:B,A22,'📋 Projects'!L:L)</f>
        <v>0.28</v>
      </c>
      <c r="I22" s="29" t="n">
        <f aca="false">IFERROR(AVERAGEIF('📋 Projects'!B:B,A22,'📋 Projects'!M:M),0)</f>
        <v>24.3666666666667</v>
      </c>
      <c r="J22" s="26" t="n">
        <f aca="false">COUNTIFS('📋 Projects'!B:B,A22,'📋 Projects'!G:G,"Completed")</f>
        <v>1</v>
      </c>
      <c r="K22" s="26" t="str">
        <f aca="false">IFERROR(INDEX('📋 Regulatory'!E:E,MATCH(A22,'📋 Regulatory'!A:A,0)),"-")</f>
        <v>Planned</v>
      </c>
      <c r="L22" s="26" t="str">
        <f aca="false">IFERROR(INDEX('📋 Regulatory'!I:I,MATCH(A22,'📋 Regulatory'!A:A,0)),"-")</f>
        <v>Partial</v>
      </c>
    </row>
    <row r="23" customFormat="false" ht="15" hidden="false" customHeight="false" outlineLevel="0" collapsed="false">
      <c r="A23" s="18" t="s">
        <v>57</v>
      </c>
      <c r="B23" s="19" t="s">
        <v>58</v>
      </c>
      <c r="C23" s="19" t="s">
        <v>56</v>
      </c>
      <c r="D23" s="20" t="n">
        <f aca="false">COUNTIF('📋 Projects'!B:B,A23)</f>
        <v>6</v>
      </c>
      <c r="E23" s="21" t="n">
        <f aca="false">SUMIF('📋 Projects'!B:B,A23,'📋 Projects'!I:I)</f>
        <v>3481</v>
      </c>
      <c r="F23" s="21" t="n">
        <f aca="false">SUMIF('📋 Projects'!B:B,A23,'📋 Projects'!J:J)</f>
        <v>2966</v>
      </c>
      <c r="G23" s="21" t="n">
        <f aca="false">SUMIF('📋 Projects'!B:B,A23,'📋 Projects'!K:K)</f>
        <v>595</v>
      </c>
      <c r="H23" s="22" t="n">
        <f aca="false">SUMIF('📋 Projects'!B:B,A23,'📋 Projects'!L:L)</f>
        <v>0.9</v>
      </c>
      <c r="I23" s="23" t="n">
        <f aca="false">IFERROR(AVERAGEIF('📋 Projects'!B:B,A23,'📋 Projects'!M:M),0)</f>
        <v>14.7166666666667</v>
      </c>
      <c r="J23" s="20" t="n">
        <f aca="false">COUNTIFS('📋 Projects'!B:B,A23,'📋 Projects'!G:G,"Completed")</f>
        <v>2</v>
      </c>
      <c r="K23" s="20" t="str">
        <f aca="false">IFERROR(INDEX('📋 Regulatory'!E:E,MATCH(A23,'📋 Regulatory'!A:A,0)),"-")</f>
        <v>In Progress</v>
      </c>
      <c r="L23" s="20" t="str">
        <f aca="false">IFERROR(INDEX('📋 Regulatory'!I:I,MATCH(A23,'📋 Regulatory'!A:A,0)),"-")</f>
        <v>Partial</v>
      </c>
    </row>
    <row r="24" customFormat="false" ht="15" hidden="false" customHeight="false" outlineLevel="0" collapsed="false">
      <c r="A24" s="24" t="s">
        <v>59</v>
      </c>
      <c r="B24" s="25" t="s">
        <v>58</v>
      </c>
      <c r="C24" s="25" t="s">
        <v>43</v>
      </c>
      <c r="D24" s="26" t="n">
        <f aca="false">COUNTIF('📋 Projects'!B:B,A24)</f>
        <v>5</v>
      </c>
      <c r="E24" s="27" t="n">
        <f aca="false">SUMIF('📋 Projects'!B:B,A24,'📋 Projects'!I:I)</f>
        <v>5116</v>
      </c>
      <c r="F24" s="27" t="n">
        <f aca="false">SUMIF('📋 Projects'!B:B,A24,'📋 Projects'!J:J)</f>
        <v>2493</v>
      </c>
      <c r="G24" s="27" t="n">
        <f aca="false">SUMIF('📋 Projects'!B:B,A24,'📋 Projects'!K:K)</f>
        <v>676</v>
      </c>
      <c r="H24" s="28" t="n">
        <f aca="false">SUMIF('📋 Projects'!B:B,A24,'📋 Projects'!L:L)</f>
        <v>0.65</v>
      </c>
      <c r="I24" s="29" t="n">
        <f aca="false">IFERROR(AVERAGEIF('📋 Projects'!B:B,A24,'📋 Projects'!M:M),0)</f>
        <v>9.96</v>
      </c>
      <c r="J24" s="26" t="n">
        <f aca="false">COUNTIFS('📋 Projects'!B:B,A24,'📋 Projects'!G:G,"Completed")</f>
        <v>4</v>
      </c>
      <c r="K24" s="26" t="str">
        <f aca="false">IFERROR(INDEX('📋 Regulatory'!E:E,MATCH(A24,'📋 Regulatory'!A:A,0)),"-")</f>
        <v>Certified</v>
      </c>
      <c r="L24" s="26" t="str">
        <f aca="false">IFERROR(INDEX('📋 Regulatory'!I:I,MATCH(A24,'📋 Regulatory'!A:A,0)),"-")</f>
        <v>Under Review</v>
      </c>
    </row>
    <row r="25" customFormat="false" ht="15" hidden="false" customHeight="false" outlineLevel="0" collapsed="false">
      <c r="A25" s="18" t="s">
        <v>60</v>
      </c>
      <c r="B25" s="19" t="s">
        <v>51</v>
      </c>
      <c r="C25" s="19" t="s">
        <v>43</v>
      </c>
      <c r="D25" s="20" t="n">
        <f aca="false">COUNTIF('📋 Projects'!B:B,A25)</f>
        <v>5</v>
      </c>
      <c r="E25" s="21" t="n">
        <f aca="false">SUMIF('📋 Projects'!B:B,A25,'📋 Projects'!I:I)</f>
        <v>7963</v>
      </c>
      <c r="F25" s="21" t="n">
        <f aca="false">SUMIF('📋 Projects'!B:B,A25,'📋 Projects'!J:J)</f>
        <v>2555</v>
      </c>
      <c r="G25" s="21" t="n">
        <f aca="false">SUMIF('📋 Projects'!B:B,A25,'📋 Projects'!K:K)</f>
        <v>473</v>
      </c>
      <c r="H25" s="22" t="n">
        <f aca="false">SUMIF('📋 Projects'!B:B,A25,'📋 Projects'!L:L)</f>
        <v>0.67</v>
      </c>
      <c r="I25" s="23" t="n">
        <f aca="false">IFERROR(AVERAGEIF('📋 Projects'!B:B,A25,'📋 Projects'!M:M),0)</f>
        <v>23.68</v>
      </c>
      <c r="J25" s="20" t="n">
        <f aca="false">COUNTIFS('📋 Projects'!B:B,A25,'📋 Projects'!G:G,"Completed")</f>
        <v>2</v>
      </c>
      <c r="K25" s="20" t="str">
        <f aca="false">IFERROR(INDEX('📋 Regulatory'!E:E,MATCH(A25,'📋 Regulatory'!A:A,0)),"-")</f>
        <v>Planned</v>
      </c>
      <c r="L25" s="20" t="str">
        <f aca="false">IFERROR(INDEX('📋 Regulatory'!I:I,MATCH(A25,'📋 Regulatory'!A:A,0)),"-")</f>
        <v>Under Review</v>
      </c>
    </row>
    <row r="26" customFormat="false" ht="15" hidden="false" customHeight="false" outlineLevel="0" collapsed="false">
      <c r="A26" s="24" t="s">
        <v>61</v>
      </c>
      <c r="B26" s="25" t="s">
        <v>42</v>
      </c>
      <c r="C26" s="25" t="s">
        <v>43</v>
      </c>
      <c r="D26" s="26" t="n">
        <f aca="false">COUNTIF('📋 Projects'!B:B,A26)</f>
        <v>4</v>
      </c>
      <c r="E26" s="27" t="n">
        <f aca="false">SUMIF('📋 Projects'!B:B,A26,'📋 Projects'!I:I)</f>
        <v>6479</v>
      </c>
      <c r="F26" s="27" t="n">
        <f aca="false">SUMIF('📋 Projects'!B:B,A26,'📋 Projects'!J:J)</f>
        <v>1057</v>
      </c>
      <c r="G26" s="27" t="n">
        <f aca="false">SUMIF('📋 Projects'!B:B,A26,'📋 Projects'!K:K)</f>
        <v>314</v>
      </c>
      <c r="H26" s="28" t="n">
        <f aca="false">SUMIF('📋 Projects'!B:B,A26,'📋 Projects'!L:L)</f>
        <v>0.32</v>
      </c>
      <c r="I26" s="29" t="n">
        <f aca="false">IFERROR(AVERAGEIF('📋 Projects'!B:B,A26,'📋 Projects'!M:M),0)</f>
        <v>34.725</v>
      </c>
      <c r="J26" s="26" t="n">
        <f aca="false">COUNTIFS('📋 Projects'!B:B,A26,'📋 Projects'!G:G,"Completed")</f>
        <v>2</v>
      </c>
      <c r="K26" s="26" t="str">
        <f aca="false">IFERROR(INDEX('📋 Regulatory'!E:E,MATCH(A26,'📋 Regulatory'!A:A,0)),"-")</f>
        <v>Planned</v>
      </c>
      <c r="L26" s="26" t="str">
        <f aca="false">IFERROR(INDEX('📋 Regulatory'!I:I,MATCH(A26,'📋 Regulatory'!A:A,0)),"-")</f>
        <v>Gap Identified</v>
      </c>
    </row>
    <row r="27" customFormat="false" ht="15" hidden="false" customHeight="false" outlineLevel="0" collapsed="false">
      <c r="A27" s="18" t="s">
        <v>62</v>
      </c>
      <c r="B27" s="19" t="s">
        <v>45</v>
      </c>
      <c r="C27" s="19" t="s">
        <v>52</v>
      </c>
      <c r="D27" s="20" t="n">
        <f aca="false">COUNTIF('📋 Projects'!B:B,A27)</f>
        <v>6</v>
      </c>
      <c r="E27" s="21" t="n">
        <f aca="false">SUMIF('📋 Projects'!B:B,A27,'📋 Projects'!I:I)</f>
        <v>7491</v>
      </c>
      <c r="F27" s="21" t="n">
        <f aca="false">SUMIF('📋 Projects'!B:B,A27,'📋 Projects'!J:J)</f>
        <v>1643</v>
      </c>
      <c r="G27" s="21" t="n">
        <f aca="false">SUMIF('📋 Projects'!B:B,A27,'📋 Projects'!K:K)</f>
        <v>1045</v>
      </c>
      <c r="H27" s="22" t="n">
        <f aca="false">SUMIF('📋 Projects'!B:B,A27,'📋 Projects'!L:L)</f>
        <v>0.53</v>
      </c>
      <c r="I27" s="23" t="n">
        <f aca="false">IFERROR(AVERAGEIF('📋 Projects'!B:B,A27,'📋 Projects'!M:M),0)</f>
        <v>7.06666666666667</v>
      </c>
      <c r="J27" s="20" t="n">
        <f aca="false">COUNTIFS('📋 Projects'!B:B,A27,'📋 Projects'!G:G,"Completed")</f>
        <v>1</v>
      </c>
      <c r="K27" s="20" t="str">
        <f aca="false">IFERROR(INDEX('📋 Regulatory'!E:E,MATCH(A27,'📋 Regulatory'!A:A,0)),"-")</f>
        <v>Planned</v>
      </c>
      <c r="L27" s="20" t="str">
        <f aca="false">IFERROR(INDEX('📋 Regulatory'!I:I,MATCH(A27,'📋 Regulatory'!A:A,0)),"-")</f>
        <v>Under Review</v>
      </c>
    </row>
    <row r="28" customFormat="false" ht="15" hidden="false" customHeight="false" outlineLevel="0" collapsed="false">
      <c r="A28" s="24" t="s">
        <v>63</v>
      </c>
      <c r="B28" s="25" t="s">
        <v>48</v>
      </c>
      <c r="C28" s="25" t="s">
        <v>49</v>
      </c>
      <c r="D28" s="26" t="n">
        <f aca="false">COUNTIF('📋 Projects'!B:B,A28)</f>
        <v>6</v>
      </c>
      <c r="E28" s="27" t="n">
        <f aca="false">SUMIF('📋 Projects'!B:B,A28,'📋 Projects'!I:I)</f>
        <v>4961</v>
      </c>
      <c r="F28" s="27" t="n">
        <f aca="false">SUMIF('📋 Projects'!B:B,A28,'📋 Projects'!J:J)</f>
        <v>3436</v>
      </c>
      <c r="G28" s="27" t="n">
        <f aca="false">SUMIF('📋 Projects'!B:B,A28,'📋 Projects'!K:K)</f>
        <v>655</v>
      </c>
      <c r="H28" s="28" t="n">
        <f aca="false">SUMIF('📋 Projects'!B:B,A28,'📋 Projects'!L:L)</f>
        <v>1.22</v>
      </c>
      <c r="I28" s="29" t="n">
        <f aca="false">IFERROR(AVERAGEIF('📋 Projects'!B:B,A28,'📋 Projects'!M:M),0)</f>
        <v>23.65</v>
      </c>
      <c r="J28" s="26" t="n">
        <f aca="false">COUNTIFS('📋 Projects'!B:B,A28,'📋 Projects'!G:G,"Completed")</f>
        <v>0</v>
      </c>
      <c r="K28" s="26" t="str">
        <f aca="false">IFERROR(INDEX('📋 Regulatory'!E:E,MATCH(A28,'📋 Regulatory'!A:A,0)),"-")</f>
        <v>Planned</v>
      </c>
      <c r="L28" s="26" t="str">
        <f aca="false">IFERROR(INDEX('📋 Regulatory'!I:I,MATCH(A28,'📋 Regulatory'!A:A,0)),"-")</f>
        <v>Partial</v>
      </c>
    </row>
  </sheetData>
  <mergeCells count="22">
    <mergeCell ref="A1:P1"/>
    <mergeCell ref="A2:P2"/>
    <mergeCell ref="A4:P4"/>
    <mergeCell ref="A5:B5"/>
    <mergeCell ref="C5:D5"/>
    <mergeCell ref="E5:F5"/>
    <mergeCell ref="G5:H5"/>
    <mergeCell ref="I5:J5"/>
    <mergeCell ref="K5:L5"/>
    <mergeCell ref="M5:N5"/>
    <mergeCell ref="O5:P5"/>
    <mergeCell ref="A6:B6"/>
    <mergeCell ref="C6:D6"/>
    <mergeCell ref="E6:F6"/>
    <mergeCell ref="G6:H6"/>
    <mergeCell ref="I6:J6"/>
    <mergeCell ref="K6:L6"/>
    <mergeCell ref="M6:N6"/>
    <mergeCell ref="O6:P6"/>
    <mergeCell ref="A8:H8"/>
    <mergeCell ref="J8:P8"/>
    <mergeCell ref="A15:P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2" min="11" style="0" width="2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6" min="15" style="0" width="10"/>
  </cols>
  <sheetData>
    <row r="1" customFormat="false" ht="31.5" hidden="false" customHeight="true" outlineLevel="0" collapsed="false">
      <c r="A1" s="30" t="s">
        <v>64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customFormat="false" ht="27.75" hidden="false" customHeight="true" outlineLevel="0" collapsed="false">
      <c r="A2" s="31" t="s">
        <v>65</v>
      </c>
      <c r="B2" s="31" t="s">
        <v>30</v>
      </c>
      <c r="C2" s="31" t="s">
        <v>31</v>
      </c>
      <c r="D2" s="31" t="s">
        <v>32</v>
      </c>
      <c r="E2" s="31" t="s">
        <v>66</v>
      </c>
      <c r="F2" s="31" t="s">
        <v>67</v>
      </c>
      <c r="G2" s="31" t="s">
        <v>13</v>
      </c>
      <c r="H2" s="31" t="s">
        <v>68</v>
      </c>
      <c r="I2" s="31" t="s">
        <v>15</v>
      </c>
      <c r="J2" s="31" t="s">
        <v>69</v>
      </c>
      <c r="K2" s="31" t="s">
        <v>70</v>
      </c>
      <c r="L2" s="31" t="s">
        <v>71</v>
      </c>
      <c r="M2" s="31" t="s">
        <v>72</v>
      </c>
      <c r="N2" s="31" t="s">
        <v>73</v>
      </c>
      <c r="O2" s="31" t="s">
        <v>74</v>
      </c>
      <c r="P2" s="31" t="s">
        <v>19</v>
      </c>
    </row>
    <row r="3" customFormat="false" ht="23.85" hidden="false" customHeight="false" outlineLevel="0" collapsed="false">
      <c r="A3" s="18" t="s">
        <v>75</v>
      </c>
      <c r="B3" s="19" t="s">
        <v>41</v>
      </c>
      <c r="C3" s="19" t="s">
        <v>42</v>
      </c>
      <c r="D3" s="19" t="s">
        <v>43</v>
      </c>
      <c r="E3" s="32" t="s">
        <v>76</v>
      </c>
      <c r="F3" s="32" t="s">
        <v>77</v>
      </c>
      <c r="G3" s="32" t="s">
        <v>22</v>
      </c>
      <c r="H3" s="32" t="n">
        <v>2026</v>
      </c>
      <c r="I3" s="33" t="n">
        <v>476</v>
      </c>
      <c r="J3" s="33" t="n">
        <v>429</v>
      </c>
      <c r="K3" s="33" t="n">
        <v>10</v>
      </c>
      <c r="L3" s="34" t="n">
        <v>0.11</v>
      </c>
      <c r="M3" s="34" t="n">
        <v>47.6</v>
      </c>
      <c r="N3" s="34" t="n">
        <v>-426</v>
      </c>
      <c r="O3" s="34" t="n">
        <v>2.1</v>
      </c>
      <c r="P3" s="32" t="s">
        <v>27</v>
      </c>
    </row>
    <row r="4" customFormat="false" ht="23.85" hidden="false" customHeight="false" outlineLevel="0" collapsed="false">
      <c r="A4" s="24" t="s">
        <v>78</v>
      </c>
      <c r="B4" s="25" t="s">
        <v>41</v>
      </c>
      <c r="C4" s="25" t="s">
        <v>42</v>
      </c>
      <c r="D4" s="25" t="s">
        <v>43</v>
      </c>
      <c r="E4" s="35" t="s">
        <v>79</v>
      </c>
      <c r="F4" s="35" t="s">
        <v>80</v>
      </c>
      <c r="G4" s="35" t="s">
        <v>28</v>
      </c>
      <c r="H4" s="35" t="n">
        <v>2026</v>
      </c>
      <c r="I4" s="36" t="n">
        <v>1199</v>
      </c>
      <c r="J4" s="36" t="n">
        <v>657</v>
      </c>
      <c r="K4" s="36" t="n">
        <v>6</v>
      </c>
      <c r="L4" s="37" t="n">
        <v>0.29</v>
      </c>
      <c r="M4" s="37" t="n">
        <v>199.8</v>
      </c>
      <c r="N4" s="37" t="n">
        <v>-1169</v>
      </c>
      <c r="O4" s="37" t="n">
        <v>0.5</v>
      </c>
      <c r="P4" s="35" t="s">
        <v>27</v>
      </c>
    </row>
    <row r="5" customFormat="false" ht="23.85" hidden="false" customHeight="false" outlineLevel="0" collapsed="false">
      <c r="A5" s="18" t="s">
        <v>81</v>
      </c>
      <c r="B5" s="19" t="s">
        <v>41</v>
      </c>
      <c r="C5" s="19" t="s">
        <v>42</v>
      </c>
      <c r="D5" s="19" t="s">
        <v>43</v>
      </c>
      <c r="E5" s="32" t="s">
        <v>82</v>
      </c>
      <c r="F5" s="32" t="s">
        <v>83</v>
      </c>
      <c r="G5" s="32" t="s">
        <v>26</v>
      </c>
      <c r="H5" s="32" t="n">
        <v>2023</v>
      </c>
      <c r="I5" s="33" t="n">
        <v>353</v>
      </c>
      <c r="J5" s="33" t="n">
        <v>768</v>
      </c>
      <c r="K5" s="33" t="n">
        <v>71</v>
      </c>
      <c r="L5" s="34" t="n">
        <v>0.17</v>
      </c>
      <c r="M5" s="34" t="n">
        <v>5</v>
      </c>
      <c r="N5" s="34" t="n">
        <v>2</v>
      </c>
      <c r="O5" s="34" t="n">
        <v>20.1</v>
      </c>
      <c r="P5" s="32" t="s">
        <v>25</v>
      </c>
    </row>
    <row r="6" customFormat="false" ht="15" hidden="false" customHeight="false" outlineLevel="0" collapsed="false">
      <c r="A6" s="24" t="s">
        <v>84</v>
      </c>
      <c r="B6" s="25" t="s">
        <v>44</v>
      </c>
      <c r="C6" s="25" t="s">
        <v>45</v>
      </c>
      <c r="D6" s="25" t="s">
        <v>46</v>
      </c>
      <c r="E6" s="35" t="s">
        <v>82</v>
      </c>
      <c r="F6" s="35" t="s">
        <v>85</v>
      </c>
      <c r="G6" s="35" t="s">
        <v>26</v>
      </c>
      <c r="H6" s="35" t="n">
        <v>2026</v>
      </c>
      <c r="I6" s="36" t="n">
        <v>1624</v>
      </c>
      <c r="J6" s="36" t="n">
        <v>597</v>
      </c>
      <c r="K6" s="36" t="n">
        <v>110</v>
      </c>
      <c r="L6" s="37" t="n">
        <v>0.29</v>
      </c>
      <c r="M6" s="37" t="n">
        <v>14.8</v>
      </c>
      <c r="N6" s="37" t="n">
        <v>-1074</v>
      </c>
      <c r="O6" s="37" t="n">
        <v>6.8</v>
      </c>
      <c r="P6" s="35" t="s">
        <v>23</v>
      </c>
    </row>
    <row r="7" customFormat="false" ht="15" hidden="false" customHeight="false" outlineLevel="0" collapsed="false">
      <c r="A7" s="18" t="s">
        <v>86</v>
      </c>
      <c r="B7" s="19" t="s">
        <v>44</v>
      </c>
      <c r="C7" s="19" t="s">
        <v>45</v>
      </c>
      <c r="D7" s="19" t="s">
        <v>46</v>
      </c>
      <c r="E7" s="32" t="s">
        <v>87</v>
      </c>
      <c r="F7" s="32" t="s">
        <v>88</v>
      </c>
      <c r="G7" s="32" t="s">
        <v>26</v>
      </c>
      <c r="H7" s="32" t="n">
        <v>2023</v>
      </c>
      <c r="I7" s="33" t="n">
        <v>1667</v>
      </c>
      <c r="J7" s="33" t="n">
        <v>514</v>
      </c>
      <c r="K7" s="33" t="n">
        <v>173</v>
      </c>
      <c r="L7" s="34" t="n">
        <v>0.19</v>
      </c>
      <c r="M7" s="34" t="n">
        <v>9.6</v>
      </c>
      <c r="N7" s="34" t="n">
        <v>-802</v>
      </c>
      <c r="O7" s="34" t="n">
        <v>10.4</v>
      </c>
      <c r="P7" s="32" t="s">
        <v>23</v>
      </c>
    </row>
    <row r="8" customFormat="false" ht="23.85" hidden="false" customHeight="false" outlineLevel="0" collapsed="false">
      <c r="A8" s="24" t="s">
        <v>89</v>
      </c>
      <c r="B8" s="25" t="s">
        <v>44</v>
      </c>
      <c r="C8" s="25" t="s">
        <v>45</v>
      </c>
      <c r="D8" s="25" t="s">
        <v>46</v>
      </c>
      <c r="E8" s="35" t="s">
        <v>76</v>
      </c>
      <c r="F8" s="35" t="s">
        <v>90</v>
      </c>
      <c r="G8" s="35" t="s">
        <v>24</v>
      </c>
      <c r="H8" s="35" t="n">
        <v>2026</v>
      </c>
      <c r="I8" s="36" t="n">
        <v>1557</v>
      </c>
      <c r="J8" s="36" t="n">
        <v>789</v>
      </c>
      <c r="K8" s="36" t="n">
        <v>172</v>
      </c>
      <c r="L8" s="37" t="n">
        <v>0.36</v>
      </c>
      <c r="M8" s="37" t="n">
        <v>9.1</v>
      </c>
      <c r="N8" s="37" t="n">
        <v>-697</v>
      </c>
      <c r="O8" s="37" t="n">
        <v>11</v>
      </c>
      <c r="P8" s="35" t="s">
        <v>23</v>
      </c>
    </row>
    <row r="9" customFormat="false" ht="23.85" hidden="false" customHeight="false" outlineLevel="0" collapsed="false">
      <c r="A9" s="18" t="s">
        <v>91</v>
      </c>
      <c r="B9" s="19" t="s">
        <v>44</v>
      </c>
      <c r="C9" s="19" t="s">
        <v>45</v>
      </c>
      <c r="D9" s="19" t="s">
        <v>46</v>
      </c>
      <c r="E9" s="32" t="s">
        <v>92</v>
      </c>
      <c r="F9" s="32" t="s">
        <v>93</v>
      </c>
      <c r="G9" s="32" t="s">
        <v>28</v>
      </c>
      <c r="H9" s="32" t="n">
        <v>2025</v>
      </c>
      <c r="I9" s="33" t="n">
        <v>1290</v>
      </c>
      <c r="J9" s="33" t="n">
        <v>324</v>
      </c>
      <c r="K9" s="33" t="n">
        <v>77</v>
      </c>
      <c r="L9" s="34" t="n">
        <v>0.09</v>
      </c>
      <c r="M9" s="34" t="n">
        <v>16.8</v>
      </c>
      <c r="N9" s="34" t="n">
        <v>-905</v>
      </c>
      <c r="O9" s="34" t="n">
        <v>6</v>
      </c>
      <c r="P9" s="32" t="s">
        <v>25</v>
      </c>
    </row>
    <row r="10" customFormat="false" ht="15" hidden="false" customHeight="false" outlineLevel="0" collapsed="false">
      <c r="A10" s="24" t="s">
        <v>94</v>
      </c>
      <c r="B10" s="25" t="s">
        <v>44</v>
      </c>
      <c r="C10" s="25" t="s">
        <v>45</v>
      </c>
      <c r="D10" s="25" t="s">
        <v>46</v>
      </c>
      <c r="E10" s="35" t="s">
        <v>87</v>
      </c>
      <c r="F10" s="35" t="s">
        <v>95</v>
      </c>
      <c r="G10" s="35" t="s">
        <v>24</v>
      </c>
      <c r="H10" s="35" t="n">
        <v>2024</v>
      </c>
      <c r="I10" s="36" t="n">
        <v>1092</v>
      </c>
      <c r="J10" s="36" t="n">
        <v>234</v>
      </c>
      <c r="K10" s="36" t="n">
        <v>95</v>
      </c>
      <c r="L10" s="37" t="n">
        <v>0.07</v>
      </c>
      <c r="M10" s="37" t="n">
        <v>11.5</v>
      </c>
      <c r="N10" s="37" t="n">
        <v>-617</v>
      </c>
      <c r="O10" s="37" t="n">
        <v>8.7</v>
      </c>
      <c r="P10" s="35" t="s">
        <v>25</v>
      </c>
    </row>
    <row r="11" customFormat="false" ht="23.85" hidden="false" customHeight="false" outlineLevel="0" collapsed="false">
      <c r="A11" s="18" t="s">
        <v>96</v>
      </c>
      <c r="B11" s="19" t="s">
        <v>47</v>
      </c>
      <c r="C11" s="19" t="s">
        <v>48</v>
      </c>
      <c r="D11" s="19" t="s">
        <v>49</v>
      </c>
      <c r="E11" s="32" t="s">
        <v>76</v>
      </c>
      <c r="F11" s="32" t="s">
        <v>97</v>
      </c>
      <c r="G11" s="32" t="s">
        <v>24</v>
      </c>
      <c r="H11" s="32" t="n">
        <v>2025</v>
      </c>
      <c r="I11" s="33" t="n">
        <v>1653</v>
      </c>
      <c r="J11" s="33" t="n">
        <v>654</v>
      </c>
      <c r="K11" s="33" t="n">
        <v>83</v>
      </c>
      <c r="L11" s="34" t="n">
        <v>0.14</v>
      </c>
      <c r="M11" s="34" t="n">
        <v>19.9</v>
      </c>
      <c r="N11" s="34" t="n">
        <v>-1238</v>
      </c>
      <c r="O11" s="34" t="n">
        <v>5</v>
      </c>
      <c r="P11" s="32" t="s">
        <v>25</v>
      </c>
    </row>
    <row r="12" customFormat="false" ht="23.85" hidden="false" customHeight="false" outlineLevel="0" collapsed="false">
      <c r="A12" s="24" t="s">
        <v>98</v>
      </c>
      <c r="B12" s="25" t="s">
        <v>47</v>
      </c>
      <c r="C12" s="25" t="s">
        <v>48</v>
      </c>
      <c r="D12" s="25" t="s">
        <v>49</v>
      </c>
      <c r="E12" s="35" t="s">
        <v>79</v>
      </c>
      <c r="F12" s="35" t="s">
        <v>99</v>
      </c>
      <c r="G12" s="35" t="s">
        <v>28</v>
      </c>
      <c r="H12" s="35" t="n">
        <v>2024</v>
      </c>
      <c r="I12" s="36" t="n">
        <v>821</v>
      </c>
      <c r="J12" s="36" t="n">
        <v>736</v>
      </c>
      <c r="K12" s="36" t="n">
        <v>94</v>
      </c>
      <c r="L12" s="37" t="n">
        <v>0.21</v>
      </c>
      <c r="M12" s="37" t="n">
        <v>8.7</v>
      </c>
      <c r="N12" s="37" t="n">
        <v>-351</v>
      </c>
      <c r="O12" s="37" t="n">
        <v>11.4</v>
      </c>
      <c r="P12" s="35" t="s">
        <v>25</v>
      </c>
    </row>
    <row r="13" customFormat="false" ht="23.85" hidden="false" customHeight="false" outlineLevel="0" collapsed="false">
      <c r="A13" s="18" t="s">
        <v>100</v>
      </c>
      <c r="B13" s="19" t="s">
        <v>47</v>
      </c>
      <c r="C13" s="19" t="s">
        <v>48</v>
      </c>
      <c r="D13" s="19" t="s">
        <v>49</v>
      </c>
      <c r="E13" s="32" t="s">
        <v>101</v>
      </c>
      <c r="F13" s="32" t="s">
        <v>102</v>
      </c>
      <c r="G13" s="32" t="s">
        <v>26</v>
      </c>
      <c r="H13" s="32" t="n">
        <v>2024</v>
      </c>
      <c r="I13" s="33" t="n">
        <v>1507</v>
      </c>
      <c r="J13" s="33" t="n">
        <v>371</v>
      </c>
      <c r="K13" s="33" t="n">
        <v>119</v>
      </c>
      <c r="L13" s="34" t="n">
        <v>0.11</v>
      </c>
      <c r="M13" s="34" t="n">
        <v>12.7</v>
      </c>
      <c r="N13" s="34" t="n">
        <v>-912</v>
      </c>
      <c r="O13" s="34" t="n">
        <v>7.9</v>
      </c>
      <c r="P13" s="32" t="s">
        <v>23</v>
      </c>
    </row>
    <row r="14" customFormat="false" ht="23.85" hidden="false" customHeight="false" outlineLevel="0" collapsed="false">
      <c r="A14" s="24" t="s">
        <v>103</v>
      </c>
      <c r="B14" s="25" t="s">
        <v>47</v>
      </c>
      <c r="C14" s="25" t="s">
        <v>48</v>
      </c>
      <c r="D14" s="25" t="s">
        <v>49</v>
      </c>
      <c r="E14" s="35" t="s">
        <v>101</v>
      </c>
      <c r="F14" s="35" t="s">
        <v>104</v>
      </c>
      <c r="G14" s="35" t="s">
        <v>28</v>
      </c>
      <c r="H14" s="35" t="n">
        <v>2026</v>
      </c>
      <c r="I14" s="36" t="n">
        <v>227</v>
      </c>
      <c r="J14" s="36" t="n">
        <v>85</v>
      </c>
      <c r="K14" s="36" t="n">
        <v>26</v>
      </c>
      <c r="L14" s="37" t="n">
        <v>0.03</v>
      </c>
      <c r="M14" s="37" t="n">
        <v>8.7</v>
      </c>
      <c r="N14" s="37" t="n">
        <v>-97</v>
      </c>
      <c r="O14" s="37" t="n">
        <v>11.5</v>
      </c>
      <c r="P14" s="35" t="s">
        <v>27</v>
      </c>
    </row>
    <row r="15" customFormat="false" ht="23.85" hidden="false" customHeight="false" outlineLevel="0" collapsed="false">
      <c r="A15" s="18" t="s">
        <v>105</v>
      </c>
      <c r="B15" s="19" t="s">
        <v>47</v>
      </c>
      <c r="C15" s="19" t="s">
        <v>48</v>
      </c>
      <c r="D15" s="19" t="s">
        <v>49</v>
      </c>
      <c r="E15" s="32" t="s">
        <v>106</v>
      </c>
      <c r="F15" s="32" t="s">
        <v>107</v>
      </c>
      <c r="G15" s="32" t="s">
        <v>22</v>
      </c>
      <c r="H15" s="32" t="n">
        <v>2023</v>
      </c>
      <c r="I15" s="33" t="n">
        <v>800</v>
      </c>
      <c r="J15" s="33" t="n">
        <v>497</v>
      </c>
      <c r="K15" s="33" t="n">
        <v>96</v>
      </c>
      <c r="L15" s="34" t="n">
        <v>0.14</v>
      </c>
      <c r="M15" s="34" t="n">
        <v>8.3</v>
      </c>
      <c r="N15" s="34" t="n">
        <v>-320</v>
      </c>
      <c r="O15" s="34" t="n">
        <v>12</v>
      </c>
      <c r="P15" s="32" t="s">
        <v>25</v>
      </c>
    </row>
    <row r="16" customFormat="false" ht="23.85" hidden="false" customHeight="false" outlineLevel="0" collapsed="false">
      <c r="A16" s="24" t="s">
        <v>108</v>
      </c>
      <c r="B16" s="25" t="s">
        <v>50</v>
      </c>
      <c r="C16" s="25" t="s">
        <v>51</v>
      </c>
      <c r="D16" s="25" t="s">
        <v>52</v>
      </c>
      <c r="E16" s="35" t="s">
        <v>101</v>
      </c>
      <c r="F16" s="35" t="s">
        <v>109</v>
      </c>
      <c r="G16" s="35" t="s">
        <v>26</v>
      </c>
      <c r="H16" s="35" t="n">
        <v>2023</v>
      </c>
      <c r="I16" s="36" t="n">
        <v>1549</v>
      </c>
      <c r="J16" s="36" t="n">
        <v>305</v>
      </c>
      <c r="K16" s="36" t="n">
        <v>62</v>
      </c>
      <c r="L16" s="37" t="n">
        <v>0.08</v>
      </c>
      <c r="M16" s="37" t="n">
        <v>25</v>
      </c>
      <c r="N16" s="37" t="n">
        <v>-1239</v>
      </c>
      <c r="O16" s="37" t="n">
        <v>4</v>
      </c>
      <c r="P16" s="35" t="s">
        <v>25</v>
      </c>
    </row>
    <row r="17" customFormat="false" ht="23.85" hidden="false" customHeight="false" outlineLevel="0" collapsed="false">
      <c r="A17" s="18" t="s">
        <v>110</v>
      </c>
      <c r="B17" s="19" t="s">
        <v>50</v>
      </c>
      <c r="C17" s="19" t="s">
        <v>51</v>
      </c>
      <c r="D17" s="19" t="s">
        <v>52</v>
      </c>
      <c r="E17" s="32" t="s">
        <v>92</v>
      </c>
      <c r="F17" s="32" t="s">
        <v>111</v>
      </c>
      <c r="G17" s="32" t="s">
        <v>24</v>
      </c>
      <c r="H17" s="32" t="n">
        <v>2024</v>
      </c>
      <c r="I17" s="33" t="n">
        <v>1040</v>
      </c>
      <c r="J17" s="33" t="n">
        <v>130</v>
      </c>
      <c r="K17" s="33" t="n">
        <v>127</v>
      </c>
      <c r="L17" s="34" t="n">
        <v>0.06</v>
      </c>
      <c r="M17" s="34" t="n">
        <v>8.2</v>
      </c>
      <c r="N17" s="34" t="n">
        <v>-405</v>
      </c>
      <c r="O17" s="34" t="n">
        <v>12.2</v>
      </c>
      <c r="P17" s="32" t="s">
        <v>23</v>
      </c>
    </row>
    <row r="18" customFormat="false" ht="15" hidden="false" customHeight="false" outlineLevel="0" collapsed="false">
      <c r="A18" s="24" t="s">
        <v>112</v>
      </c>
      <c r="B18" s="25" t="s">
        <v>50</v>
      </c>
      <c r="C18" s="25" t="s">
        <v>51</v>
      </c>
      <c r="D18" s="25" t="s">
        <v>52</v>
      </c>
      <c r="E18" s="35" t="s">
        <v>113</v>
      </c>
      <c r="F18" s="35" t="s">
        <v>114</v>
      </c>
      <c r="G18" s="35" t="s">
        <v>26</v>
      </c>
      <c r="H18" s="35" t="n">
        <v>2023</v>
      </c>
      <c r="I18" s="36" t="n">
        <v>1537</v>
      </c>
      <c r="J18" s="36" t="n">
        <v>455</v>
      </c>
      <c r="K18" s="36" t="n">
        <v>157</v>
      </c>
      <c r="L18" s="37" t="n">
        <v>0.16</v>
      </c>
      <c r="M18" s="37" t="n">
        <v>9.8</v>
      </c>
      <c r="N18" s="37" t="n">
        <v>-752</v>
      </c>
      <c r="O18" s="37" t="n">
        <v>10.2</v>
      </c>
      <c r="P18" s="35" t="s">
        <v>23</v>
      </c>
    </row>
    <row r="19" customFormat="false" ht="23.85" hidden="false" customHeight="false" outlineLevel="0" collapsed="false">
      <c r="A19" s="18" t="s">
        <v>115</v>
      </c>
      <c r="B19" s="19" t="s">
        <v>53</v>
      </c>
      <c r="C19" s="19" t="s">
        <v>54</v>
      </c>
      <c r="D19" s="19" t="s">
        <v>46</v>
      </c>
      <c r="E19" s="32" t="s">
        <v>116</v>
      </c>
      <c r="F19" s="32" t="s">
        <v>117</v>
      </c>
      <c r="G19" s="32" t="s">
        <v>22</v>
      </c>
      <c r="H19" s="32" t="n">
        <v>2024</v>
      </c>
      <c r="I19" s="33" t="n">
        <v>268</v>
      </c>
      <c r="J19" s="33" t="n">
        <v>322</v>
      </c>
      <c r="K19" s="33" t="n">
        <v>197</v>
      </c>
      <c r="L19" s="34" t="n">
        <v>0.14</v>
      </c>
      <c r="M19" s="34" t="n">
        <v>1.4</v>
      </c>
      <c r="N19" s="34" t="n">
        <v>717</v>
      </c>
      <c r="O19" s="34" t="n">
        <v>73.5</v>
      </c>
      <c r="P19" s="32" t="s">
        <v>23</v>
      </c>
    </row>
    <row r="20" customFormat="false" ht="23.85" hidden="false" customHeight="false" outlineLevel="0" collapsed="false">
      <c r="A20" s="24" t="s">
        <v>118</v>
      </c>
      <c r="B20" s="25" t="s">
        <v>53</v>
      </c>
      <c r="C20" s="25" t="s">
        <v>54</v>
      </c>
      <c r="D20" s="25" t="s">
        <v>46</v>
      </c>
      <c r="E20" s="35" t="s">
        <v>76</v>
      </c>
      <c r="F20" s="35" t="s">
        <v>119</v>
      </c>
      <c r="G20" s="35" t="s">
        <v>24</v>
      </c>
      <c r="H20" s="35" t="n">
        <v>2023</v>
      </c>
      <c r="I20" s="36" t="n">
        <v>1762</v>
      </c>
      <c r="J20" s="36" t="n">
        <v>760</v>
      </c>
      <c r="K20" s="36" t="n">
        <v>22</v>
      </c>
      <c r="L20" s="37" t="n">
        <v>0.26</v>
      </c>
      <c r="M20" s="37" t="n">
        <v>80.1</v>
      </c>
      <c r="N20" s="37" t="n">
        <v>-1652</v>
      </c>
      <c r="O20" s="37" t="n">
        <v>1.2</v>
      </c>
      <c r="P20" s="35" t="s">
        <v>27</v>
      </c>
    </row>
    <row r="21" customFormat="false" ht="23.85" hidden="false" customHeight="false" outlineLevel="0" collapsed="false">
      <c r="A21" s="18" t="s">
        <v>120</v>
      </c>
      <c r="B21" s="19" t="s">
        <v>53</v>
      </c>
      <c r="C21" s="19" t="s">
        <v>54</v>
      </c>
      <c r="D21" s="19" t="s">
        <v>46</v>
      </c>
      <c r="E21" s="32" t="s">
        <v>101</v>
      </c>
      <c r="F21" s="32" t="s">
        <v>121</v>
      </c>
      <c r="G21" s="32" t="s">
        <v>24</v>
      </c>
      <c r="H21" s="32" t="n">
        <v>2026</v>
      </c>
      <c r="I21" s="33" t="n">
        <v>300</v>
      </c>
      <c r="J21" s="33" t="n">
        <v>406</v>
      </c>
      <c r="K21" s="33" t="n">
        <v>112</v>
      </c>
      <c r="L21" s="34" t="n">
        <v>0.11</v>
      </c>
      <c r="M21" s="34" t="n">
        <v>2.7</v>
      </c>
      <c r="N21" s="34" t="n">
        <v>260</v>
      </c>
      <c r="O21" s="34" t="n">
        <v>37.3</v>
      </c>
      <c r="P21" s="32" t="s">
        <v>23</v>
      </c>
    </row>
    <row r="22" customFormat="false" ht="23.85" hidden="false" customHeight="false" outlineLevel="0" collapsed="false">
      <c r="A22" s="24" t="s">
        <v>122</v>
      </c>
      <c r="B22" s="25" t="s">
        <v>53</v>
      </c>
      <c r="C22" s="25" t="s">
        <v>54</v>
      </c>
      <c r="D22" s="25" t="s">
        <v>46</v>
      </c>
      <c r="E22" s="35" t="s">
        <v>79</v>
      </c>
      <c r="F22" s="35" t="s">
        <v>123</v>
      </c>
      <c r="G22" s="35" t="s">
        <v>24</v>
      </c>
      <c r="H22" s="35" t="n">
        <v>2026</v>
      </c>
      <c r="I22" s="36" t="n">
        <v>1440</v>
      </c>
      <c r="J22" s="36" t="n">
        <v>349</v>
      </c>
      <c r="K22" s="36" t="n">
        <v>136</v>
      </c>
      <c r="L22" s="37" t="n">
        <v>0.11</v>
      </c>
      <c r="M22" s="37" t="n">
        <v>10.6</v>
      </c>
      <c r="N22" s="37" t="n">
        <v>-760</v>
      </c>
      <c r="O22" s="37" t="n">
        <v>9.4</v>
      </c>
      <c r="P22" s="35" t="s">
        <v>23</v>
      </c>
    </row>
    <row r="23" customFormat="false" ht="15" hidden="false" customHeight="false" outlineLevel="0" collapsed="false">
      <c r="A23" s="18" t="s">
        <v>124</v>
      </c>
      <c r="B23" s="19" t="s">
        <v>53</v>
      </c>
      <c r="C23" s="19" t="s">
        <v>54</v>
      </c>
      <c r="D23" s="19" t="s">
        <v>46</v>
      </c>
      <c r="E23" s="32" t="s">
        <v>87</v>
      </c>
      <c r="F23" s="32" t="s">
        <v>125</v>
      </c>
      <c r="G23" s="32" t="s">
        <v>24</v>
      </c>
      <c r="H23" s="32" t="n">
        <v>2024</v>
      </c>
      <c r="I23" s="33" t="n">
        <v>488</v>
      </c>
      <c r="J23" s="33" t="n">
        <v>304</v>
      </c>
      <c r="K23" s="33" t="n">
        <v>120</v>
      </c>
      <c r="L23" s="34" t="n">
        <v>0.08</v>
      </c>
      <c r="M23" s="34" t="n">
        <v>4.1</v>
      </c>
      <c r="N23" s="34" t="n">
        <v>112</v>
      </c>
      <c r="O23" s="34" t="n">
        <v>24.6</v>
      </c>
      <c r="P23" s="32" t="s">
        <v>23</v>
      </c>
    </row>
    <row r="24" customFormat="false" ht="15" hidden="false" customHeight="false" outlineLevel="0" collapsed="false">
      <c r="A24" s="24" t="s">
        <v>126</v>
      </c>
      <c r="B24" s="25" t="s">
        <v>55</v>
      </c>
      <c r="C24" s="25" t="s">
        <v>42</v>
      </c>
      <c r="D24" s="25" t="s">
        <v>56</v>
      </c>
      <c r="E24" s="35" t="s">
        <v>87</v>
      </c>
      <c r="F24" s="35" t="s">
        <v>127</v>
      </c>
      <c r="G24" s="35" t="s">
        <v>22</v>
      </c>
      <c r="H24" s="35" t="n">
        <v>2024</v>
      </c>
      <c r="I24" s="36" t="n">
        <v>496</v>
      </c>
      <c r="J24" s="36" t="n">
        <v>729</v>
      </c>
      <c r="K24" s="36" t="n">
        <v>173</v>
      </c>
      <c r="L24" s="37" t="n">
        <v>0.16</v>
      </c>
      <c r="M24" s="37" t="n">
        <v>2.9</v>
      </c>
      <c r="N24" s="37" t="n">
        <v>369</v>
      </c>
      <c r="O24" s="37" t="n">
        <v>34.9</v>
      </c>
      <c r="P24" s="35" t="s">
        <v>23</v>
      </c>
    </row>
    <row r="25" customFormat="false" ht="23.85" hidden="false" customHeight="false" outlineLevel="0" collapsed="false">
      <c r="A25" s="18" t="s">
        <v>128</v>
      </c>
      <c r="B25" s="19" t="s">
        <v>55</v>
      </c>
      <c r="C25" s="19" t="s">
        <v>42</v>
      </c>
      <c r="D25" s="19" t="s">
        <v>56</v>
      </c>
      <c r="E25" s="32" t="s">
        <v>92</v>
      </c>
      <c r="F25" s="32" t="s">
        <v>129</v>
      </c>
      <c r="G25" s="32" t="s">
        <v>28</v>
      </c>
      <c r="H25" s="32" t="n">
        <v>2026</v>
      </c>
      <c r="I25" s="33" t="n">
        <v>468</v>
      </c>
      <c r="J25" s="33" t="n">
        <v>149</v>
      </c>
      <c r="K25" s="33" t="n">
        <v>187</v>
      </c>
      <c r="L25" s="34" t="n">
        <v>0.06</v>
      </c>
      <c r="M25" s="34" t="n">
        <v>2.5</v>
      </c>
      <c r="N25" s="34" t="n">
        <v>467</v>
      </c>
      <c r="O25" s="34" t="n">
        <v>40</v>
      </c>
      <c r="P25" s="32" t="s">
        <v>23</v>
      </c>
    </row>
    <row r="26" customFormat="false" ht="15" hidden="false" customHeight="false" outlineLevel="0" collapsed="false">
      <c r="A26" s="24" t="s">
        <v>130</v>
      </c>
      <c r="B26" s="25" t="s">
        <v>55</v>
      </c>
      <c r="C26" s="25" t="s">
        <v>42</v>
      </c>
      <c r="D26" s="25" t="s">
        <v>56</v>
      </c>
      <c r="E26" s="35" t="s">
        <v>79</v>
      </c>
      <c r="F26" s="35" t="s">
        <v>131</v>
      </c>
      <c r="G26" s="35" t="s">
        <v>28</v>
      </c>
      <c r="H26" s="35" t="n">
        <v>2026</v>
      </c>
      <c r="I26" s="36" t="n">
        <v>1625</v>
      </c>
      <c r="J26" s="36" t="n">
        <v>193</v>
      </c>
      <c r="K26" s="36" t="n">
        <v>24</v>
      </c>
      <c r="L26" s="37" t="n">
        <v>0.06</v>
      </c>
      <c r="M26" s="37" t="n">
        <v>67.7</v>
      </c>
      <c r="N26" s="37" t="n">
        <v>-1505</v>
      </c>
      <c r="O26" s="37" t="n">
        <v>1.5</v>
      </c>
      <c r="P26" s="35" t="s">
        <v>27</v>
      </c>
    </row>
    <row r="27" customFormat="false" ht="15" hidden="false" customHeight="false" outlineLevel="0" collapsed="false">
      <c r="A27" s="18" t="s">
        <v>132</v>
      </c>
      <c r="B27" s="19" t="s">
        <v>57</v>
      </c>
      <c r="C27" s="19" t="s">
        <v>58</v>
      </c>
      <c r="D27" s="19" t="s">
        <v>56</v>
      </c>
      <c r="E27" s="32" t="s">
        <v>116</v>
      </c>
      <c r="F27" s="32" t="s">
        <v>133</v>
      </c>
      <c r="G27" s="32" t="s">
        <v>22</v>
      </c>
      <c r="H27" s="32" t="n">
        <v>2025</v>
      </c>
      <c r="I27" s="33" t="n">
        <v>1363</v>
      </c>
      <c r="J27" s="33" t="n">
        <v>788</v>
      </c>
      <c r="K27" s="33" t="n">
        <v>24</v>
      </c>
      <c r="L27" s="34" t="n">
        <v>0.25</v>
      </c>
      <c r="M27" s="34" t="n">
        <v>56.8</v>
      </c>
      <c r="N27" s="34" t="n">
        <v>-1243</v>
      </c>
      <c r="O27" s="34" t="n">
        <v>1.8</v>
      </c>
      <c r="P27" s="32" t="s">
        <v>27</v>
      </c>
    </row>
    <row r="28" customFormat="false" ht="15" hidden="false" customHeight="false" outlineLevel="0" collapsed="false">
      <c r="A28" s="24" t="s">
        <v>134</v>
      </c>
      <c r="B28" s="25" t="s">
        <v>57</v>
      </c>
      <c r="C28" s="25" t="s">
        <v>58</v>
      </c>
      <c r="D28" s="25" t="s">
        <v>56</v>
      </c>
      <c r="E28" s="35" t="s">
        <v>87</v>
      </c>
      <c r="F28" s="35" t="s">
        <v>135</v>
      </c>
      <c r="G28" s="35" t="s">
        <v>24</v>
      </c>
      <c r="H28" s="35" t="n">
        <v>2026</v>
      </c>
      <c r="I28" s="36" t="n">
        <v>424</v>
      </c>
      <c r="J28" s="36" t="n">
        <v>452</v>
      </c>
      <c r="K28" s="36" t="n">
        <v>32</v>
      </c>
      <c r="L28" s="37" t="n">
        <v>0.12</v>
      </c>
      <c r="M28" s="37" t="n">
        <v>13.2</v>
      </c>
      <c r="N28" s="37" t="n">
        <v>-264</v>
      </c>
      <c r="O28" s="37" t="n">
        <v>7.5</v>
      </c>
      <c r="P28" s="35" t="s">
        <v>27</v>
      </c>
    </row>
    <row r="29" customFormat="false" ht="15" hidden="false" customHeight="false" outlineLevel="0" collapsed="false">
      <c r="A29" s="18" t="s">
        <v>136</v>
      </c>
      <c r="B29" s="19" t="s">
        <v>57</v>
      </c>
      <c r="C29" s="19" t="s">
        <v>58</v>
      </c>
      <c r="D29" s="19" t="s">
        <v>56</v>
      </c>
      <c r="E29" s="32" t="s">
        <v>79</v>
      </c>
      <c r="F29" s="32" t="s">
        <v>137</v>
      </c>
      <c r="G29" s="32" t="s">
        <v>22</v>
      </c>
      <c r="H29" s="32" t="n">
        <v>2023</v>
      </c>
      <c r="I29" s="33" t="n">
        <v>914</v>
      </c>
      <c r="J29" s="33" t="n">
        <v>696</v>
      </c>
      <c r="K29" s="33" t="n">
        <v>112</v>
      </c>
      <c r="L29" s="34" t="n">
        <v>0.15</v>
      </c>
      <c r="M29" s="34" t="n">
        <v>8.2</v>
      </c>
      <c r="N29" s="34" t="n">
        <v>-354</v>
      </c>
      <c r="O29" s="34" t="n">
        <v>12.3</v>
      </c>
      <c r="P29" s="32" t="s">
        <v>23</v>
      </c>
    </row>
    <row r="30" customFormat="false" ht="15" hidden="false" customHeight="false" outlineLevel="0" collapsed="false">
      <c r="A30" s="24" t="s">
        <v>138</v>
      </c>
      <c r="B30" s="25" t="s">
        <v>57</v>
      </c>
      <c r="C30" s="25" t="s">
        <v>58</v>
      </c>
      <c r="D30" s="25" t="s">
        <v>56</v>
      </c>
      <c r="E30" s="35" t="s">
        <v>87</v>
      </c>
      <c r="F30" s="35" t="s">
        <v>139</v>
      </c>
      <c r="G30" s="35" t="s">
        <v>24</v>
      </c>
      <c r="H30" s="35" t="n">
        <v>2023</v>
      </c>
      <c r="I30" s="36" t="n">
        <v>374</v>
      </c>
      <c r="J30" s="36" t="n">
        <v>414</v>
      </c>
      <c r="K30" s="36" t="n">
        <v>47</v>
      </c>
      <c r="L30" s="37" t="n">
        <v>0.13</v>
      </c>
      <c r="M30" s="37" t="n">
        <v>8</v>
      </c>
      <c r="N30" s="37" t="n">
        <v>-139</v>
      </c>
      <c r="O30" s="37" t="n">
        <v>12.6</v>
      </c>
      <c r="P30" s="35" t="s">
        <v>25</v>
      </c>
    </row>
    <row r="31" customFormat="false" ht="15" hidden="false" customHeight="false" outlineLevel="0" collapsed="false">
      <c r="A31" s="18" t="s">
        <v>140</v>
      </c>
      <c r="B31" s="19" t="s">
        <v>57</v>
      </c>
      <c r="C31" s="19" t="s">
        <v>58</v>
      </c>
      <c r="D31" s="19" t="s">
        <v>56</v>
      </c>
      <c r="E31" s="32" t="s">
        <v>113</v>
      </c>
      <c r="F31" s="32" t="s">
        <v>141</v>
      </c>
      <c r="G31" s="32" t="s">
        <v>28</v>
      </c>
      <c r="H31" s="32" t="n">
        <v>2025</v>
      </c>
      <c r="I31" s="33" t="n">
        <v>54</v>
      </c>
      <c r="J31" s="33" t="n">
        <v>343</v>
      </c>
      <c r="K31" s="33" t="n">
        <v>186</v>
      </c>
      <c r="L31" s="34" t="n">
        <v>0.15</v>
      </c>
      <c r="M31" s="34" t="n">
        <v>0.3</v>
      </c>
      <c r="N31" s="34" t="n">
        <v>876</v>
      </c>
      <c r="O31" s="34" t="n">
        <v>344.4</v>
      </c>
      <c r="P31" s="32" t="s">
        <v>23</v>
      </c>
    </row>
    <row r="32" customFormat="false" ht="23.85" hidden="false" customHeight="false" outlineLevel="0" collapsed="false">
      <c r="A32" s="24" t="s">
        <v>142</v>
      </c>
      <c r="B32" s="25" t="s">
        <v>57</v>
      </c>
      <c r="C32" s="25" t="s">
        <v>58</v>
      </c>
      <c r="D32" s="25" t="s">
        <v>56</v>
      </c>
      <c r="E32" s="35" t="s">
        <v>143</v>
      </c>
      <c r="F32" s="35" t="s">
        <v>144</v>
      </c>
      <c r="G32" s="35" t="s">
        <v>28</v>
      </c>
      <c r="H32" s="35" t="n">
        <v>2023</v>
      </c>
      <c r="I32" s="36" t="n">
        <v>352</v>
      </c>
      <c r="J32" s="36" t="n">
        <v>273</v>
      </c>
      <c r="K32" s="36" t="n">
        <v>194</v>
      </c>
      <c r="L32" s="37" t="n">
        <v>0.1</v>
      </c>
      <c r="M32" s="37" t="n">
        <v>1.8</v>
      </c>
      <c r="N32" s="37" t="n">
        <v>618</v>
      </c>
      <c r="O32" s="37" t="n">
        <v>55.1</v>
      </c>
      <c r="P32" s="35" t="s">
        <v>23</v>
      </c>
    </row>
    <row r="33" customFormat="false" ht="23.85" hidden="false" customHeight="false" outlineLevel="0" collapsed="false">
      <c r="A33" s="18" t="s">
        <v>145</v>
      </c>
      <c r="B33" s="19" t="s">
        <v>59</v>
      </c>
      <c r="C33" s="19" t="s">
        <v>58</v>
      </c>
      <c r="D33" s="19" t="s">
        <v>43</v>
      </c>
      <c r="E33" s="32" t="s">
        <v>76</v>
      </c>
      <c r="F33" s="32" t="s">
        <v>146</v>
      </c>
      <c r="G33" s="32" t="s">
        <v>22</v>
      </c>
      <c r="H33" s="32" t="n">
        <v>2023</v>
      </c>
      <c r="I33" s="33" t="n">
        <v>1189</v>
      </c>
      <c r="J33" s="33" t="n">
        <v>427</v>
      </c>
      <c r="K33" s="33" t="n">
        <v>171</v>
      </c>
      <c r="L33" s="34" t="n">
        <v>0.11</v>
      </c>
      <c r="M33" s="34" t="n">
        <v>7</v>
      </c>
      <c r="N33" s="34" t="n">
        <v>-334</v>
      </c>
      <c r="O33" s="34" t="n">
        <v>14.4</v>
      </c>
      <c r="P33" s="32" t="s">
        <v>23</v>
      </c>
    </row>
    <row r="34" customFormat="false" ht="15" hidden="false" customHeight="false" outlineLevel="0" collapsed="false">
      <c r="A34" s="24" t="s">
        <v>147</v>
      </c>
      <c r="B34" s="25" t="s">
        <v>59</v>
      </c>
      <c r="C34" s="25" t="s">
        <v>58</v>
      </c>
      <c r="D34" s="25" t="s">
        <v>43</v>
      </c>
      <c r="E34" s="35" t="s">
        <v>113</v>
      </c>
      <c r="F34" s="35" t="s">
        <v>148</v>
      </c>
      <c r="G34" s="35" t="s">
        <v>22</v>
      </c>
      <c r="H34" s="35" t="n">
        <v>2024</v>
      </c>
      <c r="I34" s="36" t="n">
        <v>1210</v>
      </c>
      <c r="J34" s="36" t="n">
        <v>556</v>
      </c>
      <c r="K34" s="36" t="n">
        <v>51</v>
      </c>
      <c r="L34" s="37" t="n">
        <v>0.13</v>
      </c>
      <c r="M34" s="37" t="n">
        <v>23.7</v>
      </c>
      <c r="N34" s="37" t="n">
        <v>-955</v>
      </c>
      <c r="O34" s="37" t="n">
        <v>4.2</v>
      </c>
      <c r="P34" s="35" t="s">
        <v>25</v>
      </c>
    </row>
    <row r="35" customFormat="false" ht="23.85" hidden="false" customHeight="false" outlineLevel="0" collapsed="false">
      <c r="A35" s="18" t="s">
        <v>149</v>
      </c>
      <c r="B35" s="19" t="s">
        <v>59</v>
      </c>
      <c r="C35" s="19" t="s">
        <v>58</v>
      </c>
      <c r="D35" s="19" t="s">
        <v>43</v>
      </c>
      <c r="E35" s="32" t="s">
        <v>106</v>
      </c>
      <c r="F35" s="32" t="s">
        <v>150</v>
      </c>
      <c r="G35" s="32" t="s">
        <v>22</v>
      </c>
      <c r="H35" s="32" t="n">
        <v>2025</v>
      </c>
      <c r="I35" s="33" t="n">
        <v>1258</v>
      </c>
      <c r="J35" s="33" t="n">
        <v>364</v>
      </c>
      <c r="K35" s="33" t="n">
        <v>119</v>
      </c>
      <c r="L35" s="34" t="n">
        <v>0.13</v>
      </c>
      <c r="M35" s="34" t="n">
        <v>10.6</v>
      </c>
      <c r="N35" s="34" t="n">
        <v>-663</v>
      </c>
      <c r="O35" s="34" t="n">
        <v>9.5</v>
      </c>
      <c r="P35" s="32" t="s">
        <v>23</v>
      </c>
    </row>
    <row r="36" customFormat="false" ht="23.85" hidden="false" customHeight="false" outlineLevel="0" collapsed="false">
      <c r="A36" s="24" t="s">
        <v>151</v>
      </c>
      <c r="B36" s="25" t="s">
        <v>59</v>
      </c>
      <c r="C36" s="25" t="s">
        <v>58</v>
      </c>
      <c r="D36" s="25" t="s">
        <v>43</v>
      </c>
      <c r="E36" s="35" t="s">
        <v>79</v>
      </c>
      <c r="F36" s="35" t="s">
        <v>152</v>
      </c>
      <c r="G36" s="35" t="s">
        <v>26</v>
      </c>
      <c r="H36" s="35" t="n">
        <v>2025</v>
      </c>
      <c r="I36" s="36" t="n">
        <v>515</v>
      </c>
      <c r="J36" s="36" t="n">
        <v>347</v>
      </c>
      <c r="K36" s="36" t="n">
        <v>136</v>
      </c>
      <c r="L36" s="37" t="n">
        <v>0.1</v>
      </c>
      <c r="M36" s="37" t="n">
        <v>3.8</v>
      </c>
      <c r="N36" s="37" t="n">
        <v>165</v>
      </c>
      <c r="O36" s="37" t="n">
        <v>26.4</v>
      </c>
      <c r="P36" s="35" t="s">
        <v>23</v>
      </c>
    </row>
    <row r="37" customFormat="false" ht="15" hidden="false" customHeight="false" outlineLevel="0" collapsed="false">
      <c r="A37" s="18" t="s">
        <v>153</v>
      </c>
      <c r="B37" s="19" t="s">
        <v>59</v>
      </c>
      <c r="C37" s="19" t="s">
        <v>58</v>
      </c>
      <c r="D37" s="19" t="s">
        <v>43</v>
      </c>
      <c r="E37" s="32" t="s">
        <v>87</v>
      </c>
      <c r="F37" s="32" t="s">
        <v>154</v>
      </c>
      <c r="G37" s="32" t="s">
        <v>22</v>
      </c>
      <c r="H37" s="32" t="n">
        <v>2024</v>
      </c>
      <c r="I37" s="33" t="n">
        <v>944</v>
      </c>
      <c r="J37" s="33" t="n">
        <v>799</v>
      </c>
      <c r="K37" s="33" t="n">
        <v>199</v>
      </c>
      <c r="L37" s="34" t="n">
        <v>0.18</v>
      </c>
      <c r="M37" s="34" t="n">
        <v>4.7</v>
      </c>
      <c r="N37" s="34" t="n">
        <v>51</v>
      </c>
      <c r="O37" s="34" t="n">
        <v>21.1</v>
      </c>
      <c r="P37" s="32" t="s">
        <v>23</v>
      </c>
    </row>
    <row r="38" customFormat="false" ht="15" hidden="false" customHeight="false" outlineLevel="0" collapsed="false">
      <c r="A38" s="24" t="s">
        <v>155</v>
      </c>
      <c r="B38" s="25" t="s">
        <v>60</v>
      </c>
      <c r="C38" s="25" t="s">
        <v>51</v>
      </c>
      <c r="D38" s="25" t="s">
        <v>43</v>
      </c>
      <c r="E38" s="35" t="s">
        <v>113</v>
      </c>
      <c r="F38" s="35" t="s">
        <v>156</v>
      </c>
      <c r="G38" s="35" t="s">
        <v>26</v>
      </c>
      <c r="H38" s="35" t="n">
        <v>2025</v>
      </c>
      <c r="I38" s="36" t="n">
        <v>1768</v>
      </c>
      <c r="J38" s="36" t="n">
        <v>709</v>
      </c>
      <c r="K38" s="36" t="n">
        <v>77</v>
      </c>
      <c r="L38" s="37" t="n">
        <v>0.18</v>
      </c>
      <c r="M38" s="37" t="n">
        <v>23</v>
      </c>
      <c r="N38" s="37" t="n">
        <v>-1383</v>
      </c>
      <c r="O38" s="37" t="n">
        <v>4.4</v>
      </c>
      <c r="P38" s="35" t="s">
        <v>25</v>
      </c>
    </row>
    <row r="39" customFormat="false" ht="23.85" hidden="false" customHeight="false" outlineLevel="0" collapsed="false">
      <c r="A39" s="18" t="s">
        <v>157</v>
      </c>
      <c r="B39" s="19" t="s">
        <v>60</v>
      </c>
      <c r="C39" s="19" t="s">
        <v>51</v>
      </c>
      <c r="D39" s="19" t="s">
        <v>43</v>
      </c>
      <c r="E39" s="32" t="s">
        <v>106</v>
      </c>
      <c r="F39" s="32" t="s">
        <v>158</v>
      </c>
      <c r="G39" s="32" t="s">
        <v>22</v>
      </c>
      <c r="H39" s="32" t="n">
        <v>2024</v>
      </c>
      <c r="I39" s="33" t="n">
        <v>1352</v>
      </c>
      <c r="J39" s="33" t="n">
        <v>466</v>
      </c>
      <c r="K39" s="33" t="n">
        <v>187</v>
      </c>
      <c r="L39" s="34" t="n">
        <v>0.11</v>
      </c>
      <c r="M39" s="34" t="n">
        <v>7.2</v>
      </c>
      <c r="N39" s="34" t="n">
        <v>-417</v>
      </c>
      <c r="O39" s="34" t="n">
        <v>13.8</v>
      </c>
      <c r="P39" s="32" t="s">
        <v>23</v>
      </c>
    </row>
    <row r="40" customFormat="false" ht="23.85" hidden="false" customHeight="false" outlineLevel="0" collapsed="false">
      <c r="A40" s="24" t="s">
        <v>159</v>
      </c>
      <c r="B40" s="25" t="s">
        <v>60</v>
      </c>
      <c r="C40" s="25" t="s">
        <v>51</v>
      </c>
      <c r="D40" s="25" t="s">
        <v>43</v>
      </c>
      <c r="E40" s="35" t="s">
        <v>92</v>
      </c>
      <c r="F40" s="35" t="s">
        <v>160</v>
      </c>
      <c r="G40" s="35" t="s">
        <v>22</v>
      </c>
      <c r="H40" s="35" t="n">
        <v>2024</v>
      </c>
      <c r="I40" s="36" t="n">
        <v>1785</v>
      </c>
      <c r="J40" s="36" t="n">
        <v>607</v>
      </c>
      <c r="K40" s="36" t="n">
        <v>35</v>
      </c>
      <c r="L40" s="37" t="n">
        <v>0.17</v>
      </c>
      <c r="M40" s="37" t="n">
        <v>51</v>
      </c>
      <c r="N40" s="37" t="n">
        <v>-1610</v>
      </c>
      <c r="O40" s="37" t="n">
        <v>2</v>
      </c>
      <c r="P40" s="35" t="s">
        <v>27</v>
      </c>
    </row>
    <row r="41" customFormat="false" ht="23.85" hidden="false" customHeight="false" outlineLevel="0" collapsed="false">
      <c r="A41" s="18" t="s">
        <v>161</v>
      </c>
      <c r="B41" s="19" t="s">
        <v>60</v>
      </c>
      <c r="C41" s="19" t="s">
        <v>51</v>
      </c>
      <c r="D41" s="19" t="s">
        <v>43</v>
      </c>
      <c r="E41" s="32" t="s">
        <v>82</v>
      </c>
      <c r="F41" s="32" t="s">
        <v>162</v>
      </c>
      <c r="G41" s="32" t="s">
        <v>24</v>
      </c>
      <c r="H41" s="32" t="n">
        <v>2023</v>
      </c>
      <c r="I41" s="33" t="n">
        <v>1391</v>
      </c>
      <c r="J41" s="33" t="n">
        <v>690</v>
      </c>
      <c r="K41" s="33" t="n">
        <v>104</v>
      </c>
      <c r="L41" s="34" t="n">
        <v>0.19</v>
      </c>
      <c r="M41" s="34" t="n">
        <v>13.4</v>
      </c>
      <c r="N41" s="34" t="n">
        <v>-871</v>
      </c>
      <c r="O41" s="34" t="n">
        <v>7.5</v>
      </c>
      <c r="P41" s="32" t="s">
        <v>23</v>
      </c>
    </row>
    <row r="42" customFormat="false" ht="15" hidden="false" customHeight="false" outlineLevel="0" collapsed="false">
      <c r="A42" s="24" t="s">
        <v>163</v>
      </c>
      <c r="B42" s="25" t="s">
        <v>60</v>
      </c>
      <c r="C42" s="25" t="s">
        <v>51</v>
      </c>
      <c r="D42" s="25" t="s">
        <v>43</v>
      </c>
      <c r="E42" s="35" t="s">
        <v>87</v>
      </c>
      <c r="F42" s="35" t="s">
        <v>164</v>
      </c>
      <c r="G42" s="35" t="s">
        <v>28</v>
      </c>
      <c r="H42" s="35" t="n">
        <v>2025</v>
      </c>
      <c r="I42" s="36" t="n">
        <v>1667</v>
      </c>
      <c r="J42" s="36" t="n">
        <v>83</v>
      </c>
      <c r="K42" s="36" t="n">
        <v>70</v>
      </c>
      <c r="L42" s="37" t="n">
        <v>0.02</v>
      </c>
      <c r="M42" s="37" t="n">
        <v>23.8</v>
      </c>
      <c r="N42" s="37" t="n">
        <v>-1317</v>
      </c>
      <c r="O42" s="37" t="n">
        <v>4.2</v>
      </c>
      <c r="P42" s="35" t="s">
        <v>25</v>
      </c>
    </row>
    <row r="43" customFormat="false" ht="15" hidden="false" customHeight="false" outlineLevel="0" collapsed="false">
      <c r="A43" s="18" t="s">
        <v>165</v>
      </c>
      <c r="B43" s="19" t="s">
        <v>61</v>
      </c>
      <c r="C43" s="19" t="s">
        <v>42</v>
      </c>
      <c r="D43" s="19" t="s">
        <v>43</v>
      </c>
      <c r="E43" s="32" t="s">
        <v>116</v>
      </c>
      <c r="F43" s="32" t="s">
        <v>166</v>
      </c>
      <c r="G43" s="32" t="s">
        <v>28</v>
      </c>
      <c r="H43" s="32" t="n">
        <v>2024</v>
      </c>
      <c r="I43" s="33" t="n">
        <v>1144</v>
      </c>
      <c r="J43" s="33" t="n">
        <v>134</v>
      </c>
      <c r="K43" s="33" t="n">
        <v>189</v>
      </c>
      <c r="L43" s="34" t="n">
        <v>0.05</v>
      </c>
      <c r="M43" s="34" t="n">
        <v>6.1</v>
      </c>
      <c r="N43" s="34" t="n">
        <v>-199</v>
      </c>
      <c r="O43" s="34" t="n">
        <v>16.5</v>
      </c>
      <c r="P43" s="32" t="s">
        <v>23</v>
      </c>
    </row>
    <row r="44" customFormat="false" ht="23.85" hidden="false" customHeight="false" outlineLevel="0" collapsed="false">
      <c r="A44" s="24" t="s">
        <v>167</v>
      </c>
      <c r="B44" s="25" t="s">
        <v>61</v>
      </c>
      <c r="C44" s="25" t="s">
        <v>42</v>
      </c>
      <c r="D44" s="25" t="s">
        <v>43</v>
      </c>
      <c r="E44" s="35" t="s">
        <v>101</v>
      </c>
      <c r="F44" s="35" t="s">
        <v>168</v>
      </c>
      <c r="G44" s="35" t="s">
        <v>22</v>
      </c>
      <c r="H44" s="35" t="n">
        <v>2025</v>
      </c>
      <c r="I44" s="36" t="n">
        <v>1677</v>
      </c>
      <c r="J44" s="36" t="n">
        <v>487</v>
      </c>
      <c r="K44" s="36" t="n">
        <v>34</v>
      </c>
      <c r="L44" s="37" t="n">
        <v>0.12</v>
      </c>
      <c r="M44" s="37" t="n">
        <v>49.3</v>
      </c>
      <c r="N44" s="37" t="n">
        <v>-1507</v>
      </c>
      <c r="O44" s="37" t="n">
        <v>2</v>
      </c>
      <c r="P44" s="35" t="s">
        <v>27</v>
      </c>
    </row>
    <row r="45" customFormat="false" ht="15" hidden="false" customHeight="false" outlineLevel="0" collapsed="false">
      <c r="A45" s="18" t="s">
        <v>169</v>
      </c>
      <c r="B45" s="19" t="s">
        <v>61</v>
      </c>
      <c r="C45" s="19" t="s">
        <v>42</v>
      </c>
      <c r="D45" s="19" t="s">
        <v>43</v>
      </c>
      <c r="E45" s="32" t="s">
        <v>82</v>
      </c>
      <c r="F45" s="32" t="s">
        <v>170</v>
      </c>
      <c r="G45" s="32" t="s">
        <v>22</v>
      </c>
      <c r="H45" s="32" t="n">
        <v>2026</v>
      </c>
      <c r="I45" s="33" t="n">
        <v>1803</v>
      </c>
      <c r="J45" s="33" t="n">
        <v>208</v>
      </c>
      <c r="K45" s="33" t="n">
        <v>54</v>
      </c>
      <c r="L45" s="34" t="n">
        <v>0.05</v>
      </c>
      <c r="M45" s="34" t="n">
        <v>33.4</v>
      </c>
      <c r="N45" s="34" t="n">
        <v>-1533</v>
      </c>
      <c r="O45" s="34" t="n">
        <v>3</v>
      </c>
      <c r="P45" s="32" t="s">
        <v>25</v>
      </c>
    </row>
    <row r="46" customFormat="false" ht="15" hidden="false" customHeight="false" outlineLevel="0" collapsed="false">
      <c r="A46" s="24" t="s">
        <v>171</v>
      </c>
      <c r="B46" s="25" t="s">
        <v>61</v>
      </c>
      <c r="C46" s="25" t="s">
        <v>42</v>
      </c>
      <c r="D46" s="25" t="s">
        <v>43</v>
      </c>
      <c r="E46" s="35" t="s">
        <v>106</v>
      </c>
      <c r="F46" s="35" t="s">
        <v>172</v>
      </c>
      <c r="G46" s="35" t="s">
        <v>24</v>
      </c>
      <c r="H46" s="35" t="n">
        <v>2024</v>
      </c>
      <c r="I46" s="36" t="n">
        <v>1855</v>
      </c>
      <c r="J46" s="36" t="n">
        <v>228</v>
      </c>
      <c r="K46" s="36" t="n">
        <v>37</v>
      </c>
      <c r="L46" s="37" t="n">
        <v>0.1</v>
      </c>
      <c r="M46" s="37" t="n">
        <v>50.1</v>
      </c>
      <c r="N46" s="37" t="n">
        <v>-1670</v>
      </c>
      <c r="O46" s="37" t="n">
        <v>2</v>
      </c>
      <c r="P46" s="35" t="s">
        <v>27</v>
      </c>
    </row>
    <row r="47" customFormat="false" ht="23.85" hidden="false" customHeight="false" outlineLevel="0" collapsed="false">
      <c r="A47" s="18" t="s">
        <v>173</v>
      </c>
      <c r="B47" s="19" t="s">
        <v>62</v>
      </c>
      <c r="C47" s="19" t="s">
        <v>45</v>
      </c>
      <c r="D47" s="19" t="s">
        <v>52</v>
      </c>
      <c r="E47" s="32" t="s">
        <v>76</v>
      </c>
      <c r="F47" s="32" t="s">
        <v>174</v>
      </c>
      <c r="G47" s="32" t="s">
        <v>24</v>
      </c>
      <c r="H47" s="32" t="n">
        <v>2024</v>
      </c>
      <c r="I47" s="33" t="n">
        <v>1486</v>
      </c>
      <c r="J47" s="33" t="n">
        <v>299</v>
      </c>
      <c r="K47" s="33" t="n">
        <v>187</v>
      </c>
      <c r="L47" s="34" t="n">
        <v>0.13</v>
      </c>
      <c r="M47" s="34" t="n">
        <v>7.9</v>
      </c>
      <c r="N47" s="34" t="n">
        <v>-551</v>
      </c>
      <c r="O47" s="34" t="n">
        <v>12.6</v>
      </c>
      <c r="P47" s="32" t="s">
        <v>23</v>
      </c>
    </row>
    <row r="48" customFormat="false" ht="23.85" hidden="false" customHeight="false" outlineLevel="0" collapsed="false">
      <c r="A48" s="24" t="s">
        <v>175</v>
      </c>
      <c r="B48" s="25" t="s">
        <v>62</v>
      </c>
      <c r="C48" s="25" t="s">
        <v>45</v>
      </c>
      <c r="D48" s="25" t="s">
        <v>52</v>
      </c>
      <c r="E48" s="35" t="s">
        <v>92</v>
      </c>
      <c r="F48" s="35" t="s">
        <v>176</v>
      </c>
      <c r="G48" s="35" t="s">
        <v>24</v>
      </c>
      <c r="H48" s="35" t="n">
        <v>2024</v>
      </c>
      <c r="I48" s="36" t="n">
        <v>1585</v>
      </c>
      <c r="J48" s="36" t="n">
        <v>131</v>
      </c>
      <c r="K48" s="36" t="n">
        <v>175</v>
      </c>
      <c r="L48" s="37" t="n">
        <v>0.06</v>
      </c>
      <c r="M48" s="37" t="n">
        <v>9.1</v>
      </c>
      <c r="N48" s="37" t="n">
        <v>-710</v>
      </c>
      <c r="O48" s="37" t="n">
        <v>11</v>
      </c>
      <c r="P48" s="35" t="s">
        <v>23</v>
      </c>
    </row>
    <row r="49" customFormat="false" ht="15" hidden="false" customHeight="false" outlineLevel="0" collapsed="false">
      <c r="A49" s="18" t="s">
        <v>177</v>
      </c>
      <c r="B49" s="19" t="s">
        <v>62</v>
      </c>
      <c r="C49" s="19" t="s">
        <v>45</v>
      </c>
      <c r="D49" s="19" t="s">
        <v>52</v>
      </c>
      <c r="E49" s="32" t="s">
        <v>79</v>
      </c>
      <c r="F49" s="32" t="s">
        <v>178</v>
      </c>
      <c r="G49" s="32" t="s">
        <v>28</v>
      </c>
      <c r="H49" s="32" t="n">
        <v>2024</v>
      </c>
      <c r="I49" s="33" t="n">
        <v>732</v>
      </c>
      <c r="J49" s="33" t="n">
        <v>665</v>
      </c>
      <c r="K49" s="33" t="n">
        <v>175</v>
      </c>
      <c r="L49" s="34" t="n">
        <v>0.18</v>
      </c>
      <c r="M49" s="34" t="n">
        <v>4.2</v>
      </c>
      <c r="N49" s="34" t="n">
        <v>143</v>
      </c>
      <c r="O49" s="34" t="n">
        <v>23.9</v>
      </c>
      <c r="P49" s="32" t="s">
        <v>23</v>
      </c>
    </row>
    <row r="50" customFormat="false" ht="23.85" hidden="false" customHeight="false" outlineLevel="0" collapsed="false">
      <c r="A50" s="24" t="s">
        <v>179</v>
      </c>
      <c r="B50" s="25" t="s">
        <v>62</v>
      </c>
      <c r="C50" s="25" t="s">
        <v>45</v>
      </c>
      <c r="D50" s="25" t="s">
        <v>52</v>
      </c>
      <c r="E50" s="35" t="s">
        <v>143</v>
      </c>
      <c r="F50" s="35" t="s">
        <v>180</v>
      </c>
      <c r="G50" s="35" t="s">
        <v>26</v>
      </c>
      <c r="H50" s="35" t="n">
        <v>2026</v>
      </c>
      <c r="I50" s="36" t="n">
        <v>593</v>
      </c>
      <c r="J50" s="36" t="n">
        <v>102</v>
      </c>
      <c r="K50" s="36" t="n">
        <v>156</v>
      </c>
      <c r="L50" s="37" t="n">
        <v>0.03</v>
      </c>
      <c r="M50" s="37" t="n">
        <v>3.8</v>
      </c>
      <c r="N50" s="37" t="n">
        <v>187</v>
      </c>
      <c r="O50" s="37" t="n">
        <v>26.3</v>
      </c>
      <c r="P50" s="35" t="s">
        <v>23</v>
      </c>
    </row>
    <row r="51" customFormat="false" ht="23.85" hidden="false" customHeight="false" outlineLevel="0" collapsed="false">
      <c r="A51" s="18" t="s">
        <v>181</v>
      </c>
      <c r="B51" s="19" t="s">
        <v>62</v>
      </c>
      <c r="C51" s="19" t="s">
        <v>45</v>
      </c>
      <c r="D51" s="19" t="s">
        <v>52</v>
      </c>
      <c r="E51" s="32" t="s">
        <v>101</v>
      </c>
      <c r="F51" s="32" t="s">
        <v>182</v>
      </c>
      <c r="G51" s="32" t="s">
        <v>26</v>
      </c>
      <c r="H51" s="32" t="n">
        <v>2025</v>
      </c>
      <c r="I51" s="33" t="n">
        <v>1882</v>
      </c>
      <c r="J51" s="33" t="n">
        <v>137</v>
      </c>
      <c r="K51" s="33" t="n">
        <v>194</v>
      </c>
      <c r="L51" s="34" t="n">
        <v>0.03</v>
      </c>
      <c r="M51" s="34" t="n">
        <v>9.7</v>
      </c>
      <c r="N51" s="34" t="n">
        <v>-912</v>
      </c>
      <c r="O51" s="34" t="n">
        <v>10.3</v>
      </c>
      <c r="P51" s="32" t="s">
        <v>23</v>
      </c>
    </row>
    <row r="52" customFormat="false" ht="23.85" hidden="false" customHeight="false" outlineLevel="0" collapsed="false">
      <c r="A52" s="24" t="s">
        <v>183</v>
      </c>
      <c r="B52" s="25" t="s">
        <v>62</v>
      </c>
      <c r="C52" s="25" t="s">
        <v>45</v>
      </c>
      <c r="D52" s="25" t="s">
        <v>52</v>
      </c>
      <c r="E52" s="35" t="s">
        <v>76</v>
      </c>
      <c r="F52" s="35" t="s">
        <v>184</v>
      </c>
      <c r="G52" s="35" t="s">
        <v>22</v>
      </c>
      <c r="H52" s="35" t="n">
        <v>2023</v>
      </c>
      <c r="I52" s="36" t="n">
        <v>1213</v>
      </c>
      <c r="J52" s="36" t="n">
        <v>309</v>
      </c>
      <c r="K52" s="36" t="n">
        <v>158</v>
      </c>
      <c r="L52" s="37" t="n">
        <v>0.1</v>
      </c>
      <c r="M52" s="37" t="n">
        <v>7.7</v>
      </c>
      <c r="N52" s="37" t="n">
        <v>-423</v>
      </c>
      <c r="O52" s="37" t="n">
        <v>13</v>
      </c>
      <c r="P52" s="35" t="s">
        <v>23</v>
      </c>
    </row>
    <row r="53" customFormat="false" ht="23.85" hidden="false" customHeight="false" outlineLevel="0" collapsed="false">
      <c r="A53" s="18" t="s">
        <v>185</v>
      </c>
      <c r="B53" s="19" t="s">
        <v>63</v>
      </c>
      <c r="C53" s="19" t="s">
        <v>48</v>
      </c>
      <c r="D53" s="19" t="s">
        <v>49</v>
      </c>
      <c r="E53" s="32" t="s">
        <v>106</v>
      </c>
      <c r="F53" s="32" t="s">
        <v>186</v>
      </c>
      <c r="G53" s="32" t="s">
        <v>24</v>
      </c>
      <c r="H53" s="32" t="n">
        <v>2024</v>
      </c>
      <c r="I53" s="33" t="n">
        <v>547</v>
      </c>
      <c r="J53" s="33" t="n">
        <v>582</v>
      </c>
      <c r="K53" s="33" t="n">
        <v>5</v>
      </c>
      <c r="L53" s="34" t="n">
        <v>0.28</v>
      </c>
      <c r="M53" s="34" t="n">
        <v>109.4</v>
      </c>
      <c r="N53" s="34" t="n">
        <v>-522</v>
      </c>
      <c r="O53" s="34" t="n">
        <v>0.9</v>
      </c>
      <c r="P53" s="32" t="s">
        <v>27</v>
      </c>
    </row>
    <row r="54" customFormat="false" ht="15" hidden="false" customHeight="false" outlineLevel="0" collapsed="false">
      <c r="A54" s="24" t="s">
        <v>187</v>
      </c>
      <c r="B54" s="25" t="s">
        <v>63</v>
      </c>
      <c r="C54" s="25" t="s">
        <v>48</v>
      </c>
      <c r="D54" s="25" t="s">
        <v>49</v>
      </c>
      <c r="E54" s="35" t="s">
        <v>82</v>
      </c>
      <c r="F54" s="35" t="s">
        <v>188</v>
      </c>
      <c r="G54" s="35" t="s">
        <v>28</v>
      </c>
      <c r="H54" s="35" t="n">
        <v>2023</v>
      </c>
      <c r="I54" s="36" t="n">
        <v>186</v>
      </c>
      <c r="J54" s="36" t="n">
        <v>548</v>
      </c>
      <c r="K54" s="36" t="n">
        <v>69</v>
      </c>
      <c r="L54" s="37" t="n">
        <v>0.16</v>
      </c>
      <c r="M54" s="37" t="n">
        <v>2.7</v>
      </c>
      <c r="N54" s="37" t="n">
        <v>159</v>
      </c>
      <c r="O54" s="37" t="n">
        <v>37.1</v>
      </c>
      <c r="P54" s="35" t="s">
        <v>25</v>
      </c>
    </row>
    <row r="55" customFormat="false" ht="23.85" hidden="false" customHeight="false" outlineLevel="0" collapsed="false">
      <c r="A55" s="18" t="s">
        <v>189</v>
      </c>
      <c r="B55" s="19" t="s">
        <v>63</v>
      </c>
      <c r="C55" s="19" t="s">
        <v>48</v>
      </c>
      <c r="D55" s="19" t="s">
        <v>49</v>
      </c>
      <c r="E55" s="32" t="s">
        <v>92</v>
      </c>
      <c r="F55" s="32" t="s">
        <v>190</v>
      </c>
      <c r="G55" s="32" t="s">
        <v>26</v>
      </c>
      <c r="H55" s="32" t="n">
        <v>2024</v>
      </c>
      <c r="I55" s="33" t="n">
        <v>1350</v>
      </c>
      <c r="J55" s="33" t="n">
        <v>295</v>
      </c>
      <c r="K55" s="33" t="n">
        <v>141</v>
      </c>
      <c r="L55" s="34" t="n">
        <v>0.11</v>
      </c>
      <c r="M55" s="34" t="n">
        <v>9.6</v>
      </c>
      <c r="N55" s="34" t="n">
        <v>-645</v>
      </c>
      <c r="O55" s="34" t="n">
        <v>10.4</v>
      </c>
      <c r="P55" s="32" t="s">
        <v>23</v>
      </c>
    </row>
    <row r="56" customFormat="false" ht="23.85" hidden="false" customHeight="false" outlineLevel="0" collapsed="false">
      <c r="A56" s="24" t="s">
        <v>191</v>
      </c>
      <c r="B56" s="25" t="s">
        <v>63</v>
      </c>
      <c r="C56" s="25" t="s">
        <v>48</v>
      </c>
      <c r="D56" s="25" t="s">
        <v>49</v>
      </c>
      <c r="E56" s="35" t="s">
        <v>143</v>
      </c>
      <c r="F56" s="35" t="s">
        <v>192</v>
      </c>
      <c r="G56" s="35" t="s">
        <v>28</v>
      </c>
      <c r="H56" s="35" t="n">
        <v>2023</v>
      </c>
      <c r="I56" s="36" t="n">
        <v>1371</v>
      </c>
      <c r="J56" s="36" t="n">
        <v>727</v>
      </c>
      <c r="K56" s="36" t="n">
        <v>125</v>
      </c>
      <c r="L56" s="37" t="n">
        <v>0.21</v>
      </c>
      <c r="M56" s="37" t="n">
        <v>11</v>
      </c>
      <c r="N56" s="37" t="n">
        <v>-746</v>
      </c>
      <c r="O56" s="37" t="n">
        <v>9.1</v>
      </c>
      <c r="P56" s="35" t="s">
        <v>23</v>
      </c>
    </row>
    <row r="57" customFormat="false" ht="23.85" hidden="false" customHeight="false" outlineLevel="0" collapsed="false">
      <c r="A57" s="18" t="s">
        <v>193</v>
      </c>
      <c r="B57" s="19" t="s">
        <v>63</v>
      </c>
      <c r="C57" s="19" t="s">
        <v>48</v>
      </c>
      <c r="D57" s="19" t="s">
        <v>49</v>
      </c>
      <c r="E57" s="32" t="s">
        <v>92</v>
      </c>
      <c r="F57" s="32" t="s">
        <v>194</v>
      </c>
      <c r="G57" s="32" t="s">
        <v>26</v>
      </c>
      <c r="H57" s="32" t="n">
        <v>2026</v>
      </c>
      <c r="I57" s="33" t="n">
        <v>460</v>
      </c>
      <c r="J57" s="33" t="n">
        <v>639</v>
      </c>
      <c r="K57" s="33" t="n">
        <v>123</v>
      </c>
      <c r="L57" s="34" t="n">
        <v>0.19</v>
      </c>
      <c r="M57" s="34" t="n">
        <v>3.7</v>
      </c>
      <c r="N57" s="34" t="n">
        <v>155</v>
      </c>
      <c r="O57" s="34" t="n">
        <v>26.7</v>
      </c>
      <c r="P57" s="32" t="s">
        <v>23</v>
      </c>
    </row>
    <row r="58" customFormat="false" ht="15" hidden="false" customHeight="false" outlineLevel="0" collapsed="false">
      <c r="A58" s="24" t="s">
        <v>195</v>
      </c>
      <c r="B58" s="25" t="s">
        <v>63</v>
      </c>
      <c r="C58" s="25" t="s">
        <v>48</v>
      </c>
      <c r="D58" s="25" t="s">
        <v>49</v>
      </c>
      <c r="E58" s="35" t="s">
        <v>116</v>
      </c>
      <c r="F58" s="35" t="s">
        <v>196</v>
      </c>
      <c r="G58" s="35" t="s">
        <v>24</v>
      </c>
      <c r="H58" s="35" t="n">
        <v>2023</v>
      </c>
      <c r="I58" s="36" t="n">
        <v>1047</v>
      </c>
      <c r="J58" s="36" t="n">
        <v>645</v>
      </c>
      <c r="K58" s="36" t="n">
        <v>192</v>
      </c>
      <c r="L58" s="37" t="n">
        <v>0.27</v>
      </c>
      <c r="M58" s="37" t="n">
        <v>5.5</v>
      </c>
      <c r="N58" s="37" t="n">
        <v>-87</v>
      </c>
      <c r="O58" s="37" t="n">
        <v>18.3</v>
      </c>
      <c r="P58" s="35" t="s">
        <v>23</v>
      </c>
    </row>
  </sheetData>
  <autoFilter ref="A2:P58"/>
  <mergeCells count="1">
    <mergeCell ref="A1:P1"/>
  </mergeCells>
  <conditionalFormatting sqref="G3:G58">
    <cfRule type="cellIs" priority="2" operator="equal" aboveAverage="0" equalAverage="0" bottom="0" percent="0" rank="0" text="" dxfId="51">
      <formula>"Completed"</formula>
    </cfRule>
    <cfRule type="cellIs" priority="3" operator="equal" aboveAverage="0" equalAverage="0" bottom="0" percent="0" rank="0" text="" dxfId="52">
      <formula>"In Progress"</formula>
    </cfRule>
    <cfRule type="cellIs" priority="4" operator="equal" aboveAverage="0" equalAverage="0" bottom="0" percent="0" rank="0" text="" dxfId="53">
      <formula>"Planned"</formula>
    </cfRule>
    <cfRule type="cellIs" priority="5" operator="equal" aboveAverage="0" equalAverage="0" bottom="0" percent="0" rank="0" text="" dxfId="54">
      <formula>"Under Study"</formula>
    </cfRule>
  </conditionalFormatting>
  <conditionalFormatting sqref="O3:O58">
    <cfRule type="colorScale" priority="6">
      <colorScale>
        <cfvo type="min" val="0"/>
        <cfvo type="percentile" val="50"/>
        <cfvo type="max" val="0"/>
        <color rgb="FFFF0000"/>
        <color rgb="FFFFFF00"/>
        <color rgb="FF00B050"/>
      </colorScale>
    </cfRule>
  </conditionalFormatting>
  <dataValidations count="2">
    <dataValidation allowBlank="true" errorStyle="stop" operator="between" showDropDown="false" showErrorMessage="false" showInputMessage="false" sqref="G3:G58" type="list">
      <formula1>"Completed,In Progress,Planned,Under Study"</formula1>
      <formula2>0</formula2>
    </dataValidation>
    <dataValidation allowBlank="true" errorStyle="stop" operator="between" showDropDown="false" showErrorMessage="false" showInputMessage="false" sqref="P3:P5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A0"/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24"/>
    <col collapsed="false" customWidth="true" hidden="false" outlineLevel="0" max="11" min="11" style="0" width="26"/>
  </cols>
  <sheetData>
    <row r="1" customFormat="false" ht="31.5" hidden="false" customHeight="true" outlineLevel="0" collapsed="false">
      <c r="A1" s="30" t="s">
        <v>197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30" hidden="false" customHeight="true" outlineLevel="0" collapsed="false">
      <c r="A2" s="38" t="s">
        <v>198</v>
      </c>
      <c r="B2" s="38" t="s">
        <v>199</v>
      </c>
      <c r="C2" s="38" t="s">
        <v>31</v>
      </c>
      <c r="D2" s="38" t="s">
        <v>32</v>
      </c>
      <c r="E2" s="38" t="s">
        <v>200</v>
      </c>
      <c r="F2" s="38" t="s">
        <v>201</v>
      </c>
      <c r="G2" s="38" t="s">
        <v>202</v>
      </c>
      <c r="H2" s="38" t="s">
        <v>203</v>
      </c>
      <c r="I2" s="38" t="s">
        <v>204</v>
      </c>
      <c r="J2" s="38" t="s">
        <v>205</v>
      </c>
      <c r="K2" s="38" t="s">
        <v>206</v>
      </c>
    </row>
    <row r="3" customFormat="false" ht="15" hidden="false" customHeight="false" outlineLevel="0" collapsed="false">
      <c r="A3" s="18" t="s">
        <v>207</v>
      </c>
      <c r="B3" s="18" t="s">
        <v>41</v>
      </c>
      <c r="C3" s="19" t="s">
        <v>42</v>
      </c>
      <c r="D3" s="19" t="s">
        <v>43</v>
      </c>
      <c r="E3" s="33" t="n">
        <v>460000</v>
      </c>
      <c r="F3" s="39" t="n">
        <v>2007</v>
      </c>
      <c r="G3" s="39" t="s">
        <v>208</v>
      </c>
      <c r="H3" s="39" t="s">
        <v>209</v>
      </c>
      <c r="I3" s="20" t="n">
        <f aca="false">COUNTIF('📋 Projects'!B:B,B3)</f>
        <v>3</v>
      </c>
      <c r="J3" s="21" t="n">
        <f aca="false">SUMIF('📋 Projects'!B:B,B3,'📋 Projects'!I:I)</f>
        <v>2028</v>
      </c>
      <c r="K3" s="21" t="n">
        <f aca="false">SUMIF('📋 Projects'!B:B,B3,'📋 Projects'!K:K)</f>
        <v>87</v>
      </c>
    </row>
    <row r="4" customFormat="false" ht="15" hidden="false" customHeight="false" outlineLevel="0" collapsed="false">
      <c r="A4" s="24" t="s">
        <v>210</v>
      </c>
      <c r="B4" s="24" t="s">
        <v>44</v>
      </c>
      <c r="C4" s="25" t="s">
        <v>45</v>
      </c>
      <c r="D4" s="25" t="s">
        <v>46</v>
      </c>
      <c r="E4" s="36" t="n">
        <v>210000</v>
      </c>
      <c r="F4" s="40" t="n">
        <v>2009</v>
      </c>
      <c r="G4" s="40" t="s">
        <v>211</v>
      </c>
      <c r="H4" s="40" t="s">
        <v>212</v>
      </c>
      <c r="I4" s="26" t="n">
        <f aca="false">COUNTIF('📋 Projects'!B:B,B4)</f>
        <v>5</v>
      </c>
      <c r="J4" s="27" t="n">
        <f aca="false">SUMIF('📋 Projects'!B:B,B4,'📋 Projects'!I:I)</f>
        <v>7230</v>
      </c>
      <c r="K4" s="27" t="n">
        <f aca="false">SUMIF('📋 Projects'!B:B,B4,'📋 Projects'!K:K)</f>
        <v>627</v>
      </c>
    </row>
    <row r="5" customFormat="false" ht="15" hidden="false" customHeight="false" outlineLevel="0" collapsed="false">
      <c r="A5" s="18" t="s">
        <v>213</v>
      </c>
      <c r="B5" s="18" t="s">
        <v>47</v>
      </c>
      <c r="C5" s="19" t="s">
        <v>48</v>
      </c>
      <c r="D5" s="19" t="s">
        <v>49</v>
      </c>
      <c r="E5" s="33" t="n">
        <v>410000</v>
      </c>
      <c r="F5" s="39" t="n">
        <v>2015</v>
      </c>
      <c r="G5" s="39" t="s">
        <v>214</v>
      </c>
      <c r="H5" s="39" t="s">
        <v>215</v>
      </c>
      <c r="I5" s="20" t="n">
        <f aca="false">COUNTIF('📋 Projects'!B:B,B5)</f>
        <v>5</v>
      </c>
      <c r="J5" s="21" t="n">
        <f aca="false">SUMIF('📋 Projects'!B:B,B5,'📋 Projects'!I:I)</f>
        <v>5008</v>
      </c>
      <c r="K5" s="21" t="n">
        <f aca="false">SUMIF('📋 Projects'!B:B,B5,'📋 Projects'!K:K)</f>
        <v>418</v>
      </c>
    </row>
    <row r="6" customFormat="false" ht="15" hidden="false" customHeight="false" outlineLevel="0" collapsed="false">
      <c r="A6" s="24" t="s">
        <v>216</v>
      </c>
      <c r="B6" s="24" t="s">
        <v>50</v>
      </c>
      <c r="C6" s="25" t="s">
        <v>51</v>
      </c>
      <c r="D6" s="25" t="s">
        <v>52</v>
      </c>
      <c r="E6" s="36" t="n">
        <v>185000</v>
      </c>
      <c r="F6" s="40" t="n">
        <v>2016</v>
      </c>
      <c r="G6" s="40" t="s">
        <v>217</v>
      </c>
      <c r="H6" s="40" t="s">
        <v>218</v>
      </c>
      <c r="I6" s="26" t="n">
        <f aca="false">COUNTIF('📋 Projects'!B:B,B6)</f>
        <v>3</v>
      </c>
      <c r="J6" s="27" t="n">
        <f aca="false">SUMIF('📋 Projects'!B:B,B6,'📋 Projects'!I:I)</f>
        <v>4126</v>
      </c>
      <c r="K6" s="27" t="n">
        <f aca="false">SUMIF('📋 Projects'!B:B,B6,'📋 Projects'!K:K)</f>
        <v>346</v>
      </c>
    </row>
    <row r="7" customFormat="false" ht="15" hidden="false" customHeight="false" outlineLevel="0" collapsed="false">
      <c r="A7" s="18" t="s">
        <v>219</v>
      </c>
      <c r="B7" s="18" t="s">
        <v>53</v>
      </c>
      <c r="C7" s="19" t="s">
        <v>54</v>
      </c>
      <c r="D7" s="19" t="s">
        <v>46</v>
      </c>
      <c r="E7" s="33" t="n">
        <v>270000</v>
      </c>
      <c r="F7" s="39" t="n">
        <v>2013</v>
      </c>
      <c r="G7" s="39" t="s">
        <v>220</v>
      </c>
      <c r="H7" s="39" t="s">
        <v>221</v>
      </c>
      <c r="I7" s="20" t="n">
        <f aca="false">COUNTIF('📋 Projects'!B:B,B7)</f>
        <v>5</v>
      </c>
      <c r="J7" s="21" t="n">
        <f aca="false">SUMIF('📋 Projects'!B:B,B7,'📋 Projects'!I:I)</f>
        <v>4258</v>
      </c>
      <c r="K7" s="21" t="n">
        <f aca="false">SUMIF('📋 Projects'!B:B,B7,'📋 Projects'!K:K)</f>
        <v>587</v>
      </c>
    </row>
    <row r="8" customFormat="false" ht="15" hidden="false" customHeight="false" outlineLevel="0" collapsed="false">
      <c r="A8" s="24" t="s">
        <v>222</v>
      </c>
      <c r="B8" s="24" t="s">
        <v>55</v>
      </c>
      <c r="C8" s="25" t="s">
        <v>42</v>
      </c>
      <c r="D8" s="25" t="s">
        <v>56</v>
      </c>
      <c r="E8" s="36" t="n">
        <v>340000</v>
      </c>
      <c r="F8" s="40" t="n">
        <v>2014</v>
      </c>
      <c r="G8" s="40" t="s">
        <v>223</v>
      </c>
      <c r="H8" s="40" t="s">
        <v>224</v>
      </c>
      <c r="I8" s="26" t="n">
        <f aca="false">COUNTIF('📋 Projects'!B:B,B8)</f>
        <v>3</v>
      </c>
      <c r="J8" s="27" t="n">
        <f aca="false">SUMIF('📋 Projects'!B:B,B8,'📋 Projects'!I:I)</f>
        <v>2589</v>
      </c>
      <c r="K8" s="27" t="n">
        <f aca="false">SUMIF('📋 Projects'!B:B,B8,'📋 Projects'!K:K)</f>
        <v>384</v>
      </c>
    </row>
    <row r="9" customFormat="false" ht="15" hidden="false" customHeight="false" outlineLevel="0" collapsed="false">
      <c r="A9" s="18" t="s">
        <v>225</v>
      </c>
      <c r="B9" s="18" t="s">
        <v>57</v>
      </c>
      <c r="C9" s="19" t="s">
        <v>58</v>
      </c>
      <c r="D9" s="19" t="s">
        <v>56</v>
      </c>
      <c r="E9" s="33" t="n">
        <v>155000</v>
      </c>
      <c r="F9" s="39" t="n">
        <v>2017</v>
      </c>
      <c r="G9" s="39" t="s">
        <v>226</v>
      </c>
      <c r="H9" s="39" t="s">
        <v>227</v>
      </c>
      <c r="I9" s="20" t="n">
        <f aca="false">COUNTIF('📋 Projects'!B:B,B9)</f>
        <v>6</v>
      </c>
      <c r="J9" s="21" t="n">
        <f aca="false">SUMIF('📋 Projects'!B:B,B9,'📋 Projects'!I:I)</f>
        <v>3481</v>
      </c>
      <c r="K9" s="21" t="n">
        <f aca="false">SUMIF('📋 Projects'!B:B,B9,'📋 Projects'!K:K)</f>
        <v>595</v>
      </c>
    </row>
    <row r="10" customFormat="false" ht="15" hidden="false" customHeight="false" outlineLevel="0" collapsed="false">
      <c r="A10" s="24" t="s">
        <v>228</v>
      </c>
      <c r="B10" s="24" t="s">
        <v>59</v>
      </c>
      <c r="C10" s="25" t="s">
        <v>58</v>
      </c>
      <c r="D10" s="25" t="s">
        <v>43</v>
      </c>
      <c r="E10" s="36" t="n">
        <v>380000</v>
      </c>
      <c r="F10" s="40" t="n">
        <v>2012</v>
      </c>
      <c r="G10" s="40" t="s">
        <v>229</v>
      </c>
      <c r="H10" s="40" t="s">
        <v>230</v>
      </c>
      <c r="I10" s="26" t="n">
        <f aca="false">COUNTIF('📋 Projects'!B:B,B10)</f>
        <v>5</v>
      </c>
      <c r="J10" s="27" t="n">
        <f aca="false">SUMIF('📋 Projects'!B:B,B10,'📋 Projects'!I:I)</f>
        <v>5116</v>
      </c>
      <c r="K10" s="27" t="n">
        <f aca="false">SUMIF('📋 Projects'!B:B,B10,'📋 Projects'!K:K)</f>
        <v>676</v>
      </c>
    </row>
    <row r="11" customFormat="false" ht="15" hidden="false" customHeight="false" outlineLevel="0" collapsed="false">
      <c r="A11" s="18" t="s">
        <v>231</v>
      </c>
      <c r="B11" s="18" t="s">
        <v>60</v>
      </c>
      <c r="C11" s="19" t="s">
        <v>51</v>
      </c>
      <c r="D11" s="19" t="s">
        <v>43</v>
      </c>
      <c r="E11" s="33" t="n">
        <v>290000</v>
      </c>
      <c r="F11" s="39" t="n">
        <v>2011</v>
      </c>
      <c r="G11" s="39" t="s">
        <v>232</v>
      </c>
      <c r="H11" s="39" t="s">
        <v>233</v>
      </c>
      <c r="I11" s="20" t="n">
        <f aca="false">COUNTIF('📋 Projects'!B:B,B11)</f>
        <v>5</v>
      </c>
      <c r="J11" s="21" t="n">
        <f aca="false">SUMIF('📋 Projects'!B:B,B11,'📋 Projects'!I:I)</f>
        <v>7963</v>
      </c>
      <c r="K11" s="21" t="n">
        <f aca="false">SUMIF('📋 Projects'!B:B,B11,'📋 Projects'!K:K)</f>
        <v>473</v>
      </c>
    </row>
    <row r="12" customFormat="false" ht="15" hidden="false" customHeight="false" outlineLevel="0" collapsed="false">
      <c r="A12" s="24" t="s">
        <v>234</v>
      </c>
      <c r="B12" s="24" t="s">
        <v>61</v>
      </c>
      <c r="C12" s="25" t="s">
        <v>42</v>
      </c>
      <c r="D12" s="25" t="s">
        <v>43</v>
      </c>
      <c r="E12" s="36" t="n">
        <v>500000</v>
      </c>
      <c r="F12" s="40" t="n">
        <v>2010</v>
      </c>
      <c r="G12" s="40" t="s">
        <v>235</v>
      </c>
      <c r="H12" s="40" t="s">
        <v>236</v>
      </c>
      <c r="I12" s="26" t="n">
        <f aca="false">COUNTIF('📋 Projects'!B:B,B12)</f>
        <v>4</v>
      </c>
      <c r="J12" s="27" t="n">
        <f aca="false">SUMIF('📋 Projects'!B:B,B12,'📋 Projects'!I:I)</f>
        <v>6479</v>
      </c>
      <c r="K12" s="27" t="n">
        <f aca="false">SUMIF('📋 Projects'!B:B,B12,'📋 Projects'!K:K)</f>
        <v>314</v>
      </c>
    </row>
    <row r="13" customFormat="false" ht="15" hidden="false" customHeight="false" outlineLevel="0" collapsed="false">
      <c r="A13" s="18" t="s">
        <v>237</v>
      </c>
      <c r="B13" s="18" t="s">
        <v>62</v>
      </c>
      <c r="C13" s="19" t="s">
        <v>45</v>
      </c>
      <c r="D13" s="19" t="s">
        <v>52</v>
      </c>
      <c r="E13" s="33" t="n">
        <v>320000</v>
      </c>
      <c r="F13" s="39" t="n">
        <v>2008</v>
      </c>
      <c r="G13" s="39" t="s">
        <v>238</v>
      </c>
      <c r="H13" s="39" t="s">
        <v>239</v>
      </c>
      <c r="I13" s="20" t="n">
        <f aca="false">COUNTIF('📋 Projects'!B:B,B13)</f>
        <v>6</v>
      </c>
      <c r="J13" s="21" t="n">
        <f aca="false">SUMIF('📋 Projects'!B:B,B13,'📋 Projects'!I:I)</f>
        <v>7491</v>
      </c>
      <c r="K13" s="21" t="n">
        <f aca="false">SUMIF('📋 Projects'!B:B,B13,'📋 Projects'!K:K)</f>
        <v>1045</v>
      </c>
    </row>
    <row r="14" customFormat="false" ht="15" hidden="false" customHeight="false" outlineLevel="0" collapsed="false">
      <c r="A14" s="24" t="s">
        <v>240</v>
      </c>
      <c r="B14" s="24" t="s">
        <v>63</v>
      </c>
      <c r="C14" s="25" t="s">
        <v>48</v>
      </c>
      <c r="D14" s="25" t="s">
        <v>49</v>
      </c>
      <c r="E14" s="36" t="n">
        <v>195000</v>
      </c>
      <c r="F14" s="40" t="n">
        <v>2018</v>
      </c>
      <c r="G14" s="40" t="s">
        <v>241</v>
      </c>
      <c r="H14" s="40" t="s">
        <v>242</v>
      </c>
      <c r="I14" s="26" t="n">
        <f aca="false">COUNTIF('📋 Projects'!B:B,B14)</f>
        <v>6</v>
      </c>
      <c r="J14" s="27" t="n">
        <f aca="false">SUMIF('📋 Projects'!B:B,B14,'📋 Projects'!I:I)</f>
        <v>4961</v>
      </c>
      <c r="K14" s="27" t="n">
        <f aca="false">SUMIF('📋 Projects'!B:B,B14,'📋 Projects'!K:K)</f>
        <v>655</v>
      </c>
    </row>
  </sheetData>
  <autoFilter ref="A2:K14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8" min="4" style="0" width="16"/>
    <col collapsed="false" customWidth="true" hidden="false" outlineLevel="0" max="9" min="9" style="0" width="24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20"/>
  </cols>
  <sheetData>
    <row r="1" customFormat="false" ht="31.5" hidden="false" customHeight="true" outlineLevel="0" collapsed="false">
      <c r="A1" s="41" t="s">
        <v>243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customFormat="false" ht="27.75" hidden="false" customHeight="true" outlineLevel="0" collapsed="false">
      <c r="A2" s="31" t="s">
        <v>30</v>
      </c>
      <c r="B2" s="31" t="s">
        <v>31</v>
      </c>
      <c r="C2" s="31" t="s">
        <v>32</v>
      </c>
      <c r="D2" s="31" t="s">
        <v>244</v>
      </c>
      <c r="E2" s="31" t="s">
        <v>245</v>
      </c>
      <c r="F2" s="31" t="s">
        <v>246</v>
      </c>
      <c r="G2" s="31" t="s">
        <v>247</v>
      </c>
      <c r="H2" s="31" t="s">
        <v>248</v>
      </c>
      <c r="I2" s="31" t="s">
        <v>249</v>
      </c>
      <c r="J2" s="31" t="s">
        <v>250</v>
      </c>
      <c r="K2" s="31" t="s">
        <v>251</v>
      </c>
      <c r="L2" s="31" t="s">
        <v>252</v>
      </c>
      <c r="M2" s="31" t="s">
        <v>253</v>
      </c>
    </row>
    <row r="3" customFormat="false" ht="15" hidden="false" customHeight="false" outlineLevel="0" collapsed="false">
      <c r="A3" s="18" t="s">
        <v>41</v>
      </c>
      <c r="B3" s="18" t="s">
        <v>42</v>
      </c>
      <c r="C3" s="19" t="s">
        <v>43</v>
      </c>
      <c r="D3" s="32" t="s">
        <v>26</v>
      </c>
      <c r="E3" s="32" t="s">
        <v>26</v>
      </c>
      <c r="F3" s="32" t="s">
        <v>254</v>
      </c>
      <c r="G3" s="32" t="s">
        <v>255</v>
      </c>
      <c r="H3" s="32" t="s">
        <v>256</v>
      </c>
      <c r="I3" s="32" t="s">
        <v>257</v>
      </c>
      <c r="J3" s="32" t="s">
        <v>258</v>
      </c>
      <c r="K3" s="32" t="s">
        <v>259</v>
      </c>
      <c r="L3" s="32" t="s">
        <v>202</v>
      </c>
      <c r="M3" s="32" t="s">
        <v>260</v>
      </c>
    </row>
    <row r="4" customFormat="false" ht="15" hidden="false" customHeight="false" outlineLevel="0" collapsed="false">
      <c r="A4" s="24" t="s">
        <v>44</v>
      </c>
      <c r="B4" s="24" t="s">
        <v>45</v>
      </c>
      <c r="C4" s="25" t="s">
        <v>46</v>
      </c>
      <c r="D4" s="35" t="s">
        <v>261</v>
      </c>
      <c r="E4" s="35" t="s">
        <v>261</v>
      </c>
      <c r="F4" s="35" t="s">
        <v>262</v>
      </c>
      <c r="G4" s="35" t="s">
        <v>263</v>
      </c>
      <c r="H4" s="35" t="s">
        <v>22</v>
      </c>
      <c r="I4" s="35" t="s">
        <v>264</v>
      </c>
      <c r="J4" s="35" t="s">
        <v>265</v>
      </c>
      <c r="K4" s="35" t="s">
        <v>266</v>
      </c>
      <c r="L4" s="35" t="s">
        <v>267</v>
      </c>
      <c r="M4" s="35" t="s">
        <v>268</v>
      </c>
    </row>
    <row r="5" customFormat="false" ht="15" hidden="false" customHeight="false" outlineLevel="0" collapsed="false">
      <c r="A5" s="18" t="s">
        <v>47</v>
      </c>
      <c r="B5" s="18" t="s">
        <v>48</v>
      </c>
      <c r="C5" s="19" t="s">
        <v>49</v>
      </c>
      <c r="D5" s="32" t="s">
        <v>269</v>
      </c>
      <c r="E5" s="32" t="s">
        <v>24</v>
      </c>
      <c r="F5" s="32" t="s">
        <v>262</v>
      </c>
      <c r="G5" s="32" t="s">
        <v>255</v>
      </c>
      <c r="H5" s="32" t="s">
        <v>256</v>
      </c>
      <c r="I5" s="32" t="s">
        <v>270</v>
      </c>
      <c r="J5" s="32" t="s">
        <v>258</v>
      </c>
      <c r="K5" s="32" t="s">
        <v>271</v>
      </c>
      <c r="L5" s="32" t="s">
        <v>202</v>
      </c>
      <c r="M5" s="32" t="s">
        <v>268</v>
      </c>
    </row>
    <row r="6" customFormat="false" ht="15" hidden="false" customHeight="false" outlineLevel="0" collapsed="false">
      <c r="A6" s="24" t="s">
        <v>50</v>
      </c>
      <c r="B6" s="24" t="s">
        <v>51</v>
      </c>
      <c r="C6" s="25" t="s">
        <v>52</v>
      </c>
      <c r="D6" s="35" t="s">
        <v>269</v>
      </c>
      <c r="E6" s="35" t="s">
        <v>261</v>
      </c>
      <c r="F6" s="35" t="s">
        <v>272</v>
      </c>
      <c r="G6" s="35" t="s">
        <v>255</v>
      </c>
      <c r="H6" s="35" t="s">
        <v>273</v>
      </c>
      <c r="I6" s="35" t="s">
        <v>271</v>
      </c>
      <c r="J6" s="35" t="s">
        <v>265</v>
      </c>
      <c r="K6" s="35" t="s">
        <v>266</v>
      </c>
      <c r="L6" s="35" t="s">
        <v>267</v>
      </c>
      <c r="M6" s="35"/>
    </row>
    <row r="7" customFormat="false" ht="23.85" hidden="false" customHeight="false" outlineLevel="0" collapsed="false">
      <c r="A7" s="18" t="s">
        <v>53</v>
      </c>
      <c r="B7" s="18" t="s">
        <v>54</v>
      </c>
      <c r="C7" s="19" t="s">
        <v>46</v>
      </c>
      <c r="D7" s="32" t="s">
        <v>26</v>
      </c>
      <c r="E7" s="32" t="s">
        <v>24</v>
      </c>
      <c r="F7" s="32" t="s">
        <v>262</v>
      </c>
      <c r="G7" s="32" t="s">
        <v>263</v>
      </c>
      <c r="H7" s="32" t="s">
        <v>273</v>
      </c>
      <c r="I7" s="32" t="s">
        <v>271</v>
      </c>
      <c r="J7" s="32" t="s">
        <v>24</v>
      </c>
      <c r="K7" s="32" t="s">
        <v>271</v>
      </c>
      <c r="L7" s="32" t="s">
        <v>274</v>
      </c>
      <c r="M7" s="32" t="s">
        <v>275</v>
      </c>
    </row>
    <row r="8" customFormat="false" ht="23.85" hidden="false" customHeight="false" outlineLevel="0" collapsed="false">
      <c r="A8" s="24" t="s">
        <v>55</v>
      </c>
      <c r="B8" s="24" t="s">
        <v>42</v>
      </c>
      <c r="C8" s="25" t="s">
        <v>56</v>
      </c>
      <c r="D8" s="35" t="s">
        <v>24</v>
      </c>
      <c r="E8" s="35" t="s">
        <v>26</v>
      </c>
      <c r="F8" s="35" t="s">
        <v>254</v>
      </c>
      <c r="G8" s="35" t="s">
        <v>263</v>
      </c>
      <c r="H8" s="35" t="s">
        <v>273</v>
      </c>
      <c r="I8" s="35" t="s">
        <v>271</v>
      </c>
      <c r="J8" s="35" t="s">
        <v>265</v>
      </c>
      <c r="K8" s="35" t="s">
        <v>271</v>
      </c>
      <c r="L8" s="35" t="s">
        <v>202</v>
      </c>
      <c r="M8" s="35" t="s">
        <v>275</v>
      </c>
    </row>
    <row r="9" customFormat="false" ht="15" hidden="false" customHeight="false" outlineLevel="0" collapsed="false">
      <c r="A9" s="18" t="s">
        <v>57</v>
      </c>
      <c r="B9" s="18" t="s">
        <v>58</v>
      </c>
      <c r="C9" s="19" t="s">
        <v>56</v>
      </c>
      <c r="D9" s="32" t="s">
        <v>24</v>
      </c>
      <c r="E9" s="32" t="s">
        <v>24</v>
      </c>
      <c r="F9" s="32" t="s">
        <v>254</v>
      </c>
      <c r="G9" s="32" t="s">
        <v>276</v>
      </c>
      <c r="H9" s="32" t="s">
        <v>22</v>
      </c>
      <c r="I9" s="32" t="s">
        <v>271</v>
      </c>
      <c r="J9" s="32" t="s">
        <v>258</v>
      </c>
      <c r="K9" s="32" t="s">
        <v>259</v>
      </c>
      <c r="L9" s="32" t="s">
        <v>274</v>
      </c>
      <c r="M9" s="32" t="s">
        <v>268</v>
      </c>
    </row>
    <row r="10" customFormat="false" ht="15" hidden="false" customHeight="false" outlineLevel="0" collapsed="false">
      <c r="A10" s="24" t="s">
        <v>59</v>
      </c>
      <c r="B10" s="24" t="s">
        <v>58</v>
      </c>
      <c r="C10" s="25" t="s">
        <v>43</v>
      </c>
      <c r="D10" s="35" t="s">
        <v>24</v>
      </c>
      <c r="E10" s="35" t="s">
        <v>261</v>
      </c>
      <c r="F10" s="35" t="s">
        <v>262</v>
      </c>
      <c r="G10" s="35" t="s">
        <v>276</v>
      </c>
      <c r="H10" s="35" t="s">
        <v>277</v>
      </c>
      <c r="I10" s="35" t="s">
        <v>264</v>
      </c>
      <c r="J10" s="35" t="s">
        <v>265</v>
      </c>
      <c r="K10" s="35" t="s">
        <v>259</v>
      </c>
      <c r="L10" s="35" t="s">
        <v>202</v>
      </c>
      <c r="M10" s="35" t="s">
        <v>278</v>
      </c>
    </row>
    <row r="11" customFormat="false" ht="15" hidden="false" customHeight="false" outlineLevel="0" collapsed="false">
      <c r="A11" s="18" t="s">
        <v>60</v>
      </c>
      <c r="B11" s="18" t="s">
        <v>51</v>
      </c>
      <c r="C11" s="19" t="s">
        <v>43</v>
      </c>
      <c r="D11" s="32" t="s">
        <v>269</v>
      </c>
      <c r="E11" s="32" t="s">
        <v>26</v>
      </c>
      <c r="F11" s="32" t="s">
        <v>279</v>
      </c>
      <c r="G11" s="32" t="s">
        <v>263</v>
      </c>
      <c r="H11" s="32" t="s">
        <v>273</v>
      </c>
      <c r="I11" s="32" t="s">
        <v>264</v>
      </c>
      <c r="J11" s="32" t="s">
        <v>258</v>
      </c>
      <c r="K11" s="32" t="s">
        <v>271</v>
      </c>
      <c r="L11" s="32" t="s">
        <v>274</v>
      </c>
      <c r="M11" s="32" t="s">
        <v>278</v>
      </c>
    </row>
    <row r="12" customFormat="false" ht="15" hidden="false" customHeight="false" outlineLevel="0" collapsed="false">
      <c r="A12" s="24" t="s">
        <v>61</v>
      </c>
      <c r="B12" s="24" t="s">
        <v>42</v>
      </c>
      <c r="C12" s="25" t="s">
        <v>43</v>
      </c>
      <c r="D12" s="35" t="s">
        <v>269</v>
      </c>
      <c r="E12" s="35" t="s">
        <v>26</v>
      </c>
      <c r="F12" s="35" t="s">
        <v>272</v>
      </c>
      <c r="G12" s="35" t="s">
        <v>276</v>
      </c>
      <c r="H12" s="35" t="s">
        <v>256</v>
      </c>
      <c r="I12" s="35" t="s">
        <v>257</v>
      </c>
      <c r="J12" s="35" t="s">
        <v>265</v>
      </c>
      <c r="K12" s="35" t="s">
        <v>271</v>
      </c>
      <c r="L12" s="35" t="s">
        <v>202</v>
      </c>
      <c r="M12" s="35" t="s">
        <v>278</v>
      </c>
    </row>
    <row r="13" customFormat="false" ht="15" hidden="false" customHeight="false" outlineLevel="0" collapsed="false">
      <c r="A13" s="18" t="s">
        <v>62</v>
      </c>
      <c r="B13" s="18" t="s">
        <v>45</v>
      </c>
      <c r="C13" s="19" t="s">
        <v>52</v>
      </c>
      <c r="D13" s="32" t="s">
        <v>26</v>
      </c>
      <c r="E13" s="32" t="s">
        <v>26</v>
      </c>
      <c r="F13" s="32" t="s">
        <v>262</v>
      </c>
      <c r="G13" s="32" t="s">
        <v>263</v>
      </c>
      <c r="H13" s="32" t="s">
        <v>256</v>
      </c>
      <c r="I13" s="32" t="s">
        <v>264</v>
      </c>
      <c r="J13" s="32" t="s">
        <v>258</v>
      </c>
      <c r="K13" s="32" t="s">
        <v>266</v>
      </c>
      <c r="L13" s="32" t="s">
        <v>267</v>
      </c>
      <c r="M13" s="32" t="s">
        <v>260</v>
      </c>
    </row>
    <row r="14" customFormat="false" ht="23.85" hidden="false" customHeight="false" outlineLevel="0" collapsed="false">
      <c r="A14" s="24" t="s">
        <v>63</v>
      </c>
      <c r="B14" s="24" t="s">
        <v>48</v>
      </c>
      <c r="C14" s="25" t="s">
        <v>49</v>
      </c>
      <c r="D14" s="35" t="s">
        <v>269</v>
      </c>
      <c r="E14" s="35" t="s">
        <v>26</v>
      </c>
      <c r="F14" s="35" t="s">
        <v>279</v>
      </c>
      <c r="G14" s="35" t="s">
        <v>255</v>
      </c>
      <c r="H14" s="35" t="s">
        <v>273</v>
      </c>
      <c r="I14" s="35" t="s">
        <v>271</v>
      </c>
      <c r="J14" s="35" t="s">
        <v>265</v>
      </c>
      <c r="K14" s="35" t="s">
        <v>259</v>
      </c>
      <c r="L14" s="35" t="s">
        <v>202</v>
      </c>
      <c r="M14" s="35" t="s">
        <v>275</v>
      </c>
    </row>
  </sheetData>
  <autoFilter ref="A2:M14"/>
  <mergeCells count="1">
    <mergeCell ref="A1:M1"/>
  </mergeCells>
  <conditionalFormatting sqref="I3:I14">
    <cfRule type="cellIs" priority="2" operator="equal" aboveAverage="0" equalAverage="0" bottom="0" percent="0" rank="0" text="" dxfId="51">
      <formula>"Compliant"</formula>
    </cfRule>
    <cfRule type="cellIs" priority="3" operator="equal" aboveAverage="0" equalAverage="0" bottom="0" percent="0" rank="0" text="" dxfId="58">
      <formula>"Gap Identified"</formula>
    </cfRule>
    <cfRule type="cellIs" priority="4" operator="equal" aboveAverage="0" equalAverage="0" bottom="0" percent="0" rank="0" text="" dxfId="52">
      <formula>"Partial"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31.5" hidden="false" customHeight="true" outlineLevel="0" collapsed="false">
      <c r="A1" s="30" t="s">
        <v>280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30" hidden="false" customHeight="true" outlineLevel="0" collapsed="false">
      <c r="A2" s="38" t="s">
        <v>281</v>
      </c>
      <c r="B2" s="38" t="s">
        <v>282</v>
      </c>
      <c r="C2" s="38" t="s">
        <v>283</v>
      </c>
      <c r="D2" s="38" t="s">
        <v>284</v>
      </c>
      <c r="E2" s="38" t="s">
        <v>285</v>
      </c>
      <c r="F2" s="38" t="s">
        <v>286</v>
      </c>
      <c r="G2" s="38" t="s">
        <v>287</v>
      </c>
      <c r="H2" s="38" t="s">
        <v>288</v>
      </c>
      <c r="I2" s="38" t="s">
        <v>289</v>
      </c>
      <c r="J2" s="38" t="s">
        <v>290</v>
      </c>
    </row>
    <row r="3" customFormat="false" ht="15" hidden="false" customHeight="false" outlineLevel="0" collapsed="false">
      <c r="A3" s="18" t="s">
        <v>291</v>
      </c>
      <c r="B3" s="19" t="s">
        <v>292</v>
      </c>
      <c r="C3" s="32" t="s">
        <v>293</v>
      </c>
      <c r="D3" s="32" t="s">
        <v>42</v>
      </c>
      <c r="E3" s="32" t="s">
        <v>294</v>
      </c>
      <c r="F3" s="32" t="s">
        <v>295</v>
      </c>
      <c r="G3" s="20" t="n">
        <f aca="false">COUNTIF('📋 Projects'!E:E,"Motor Upgrade")</f>
        <v>0</v>
      </c>
      <c r="H3" s="32" t="s">
        <v>44</v>
      </c>
      <c r="I3" s="42" t="n">
        <v>84</v>
      </c>
      <c r="J3" s="32" t="s">
        <v>296</v>
      </c>
    </row>
    <row r="4" customFormat="false" ht="15" hidden="false" customHeight="false" outlineLevel="0" collapsed="false">
      <c r="A4" s="24" t="s">
        <v>297</v>
      </c>
      <c r="B4" s="25" t="s">
        <v>298</v>
      </c>
      <c r="C4" s="35" t="s">
        <v>113</v>
      </c>
      <c r="D4" s="35" t="s">
        <v>48</v>
      </c>
      <c r="E4" s="35" t="s">
        <v>299</v>
      </c>
      <c r="F4" s="35" t="s">
        <v>300</v>
      </c>
      <c r="G4" s="26" t="n">
        <f aca="false">COUNTIF('📋 Projects'!E:E,"Heat Recovery")</f>
        <v>4</v>
      </c>
      <c r="H4" s="35" t="s">
        <v>47</v>
      </c>
      <c r="I4" s="43" t="n">
        <v>89</v>
      </c>
      <c r="J4" s="35" t="s">
        <v>296</v>
      </c>
    </row>
    <row r="5" customFormat="false" ht="15" hidden="false" customHeight="false" outlineLevel="0" collapsed="false">
      <c r="A5" s="18" t="s">
        <v>301</v>
      </c>
      <c r="B5" s="19" t="s">
        <v>302</v>
      </c>
      <c r="C5" s="32" t="s">
        <v>303</v>
      </c>
      <c r="D5" s="32" t="s">
        <v>45</v>
      </c>
      <c r="E5" s="32" t="s">
        <v>294</v>
      </c>
      <c r="F5" s="32" t="s">
        <v>92</v>
      </c>
      <c r="G5" s="20" t="n">
        <f aca="false">COUNTIF('📋 Projects'!E:E,"Compressed Air Efficiency")</f>
        <v>7</v>
      </c>
      <c r="H5" s="32" t="s">
        <v>50</v>
      </c>
      <c r="I5" s="42" t="n">
        <v>84</v>
      </c>
      <c r="J5" s="32" t="s">
        <v>296</v>
      </c>
    </row>
    <row r="6" customFormat="false" ht="15" hidden="false" customHeight="false" outlineLevel="0" collapsed="false">
      <c r="A6" s="24" t="s">
        <v>304</v>
      </c>
      <c r="B6" s="25" t="s">
        <v>305</v>
      </c>
      <c r="C6" s="35" t="s">
        <v>306</v>
      </c>
      <c r="D6" s="35" t="s">
        <v>51</v>
      </c>
      <c r="E6" s="35" t="s">
        <v>307</v>
      </c>
      <c r="F6" s="35" t="s">
        <v>101</v>
      </c>
      <c r="G6" s="26" t="n">
        <f aca="false">COUNTIF('📋 Projects'!E:E,"Power Factor Correction")</f>
        <v>6</v>
      </c>
      <c r="H6" s="35" t="s">
        <v>50</v>
      </c>
      <c r="I6" s="43" t="n">
        <v>76</v>
      </c>
      <c r="J6" s="35" t="s">
        <v>308</v>
      </c>
    </row>
    <row r="7" customFormat="false" ht="15" hidden="false" customHeight="false" outlineLevel="0" collapsed="false">
      <c r="A7" s="18" t="s">
        <v>309</v>
      </c>
      <c r="B7" s="19" t="s">
        <v>310</v>
      </c>
      <c r="C7" s="32" t="s">
        <v>311</v>
      </c>
      <c r="D7" s="32" t="s">
        <v>58</v>
      </c>
      <c r="E7" s="32" t="s">
        <v>299</v>
      </c>
      <c r="F7" s="32" t="s">
        <v>87</v>
      </c>
      <c r="G7" s="20" t="n">
        <f aca="false">COUNTIF('📋 Projects'!E:E,"LED Lighting")</f>
        <v>8</v>
      </c>
      <c r="H7" s="32" t="s">
        <v>47</v>
      </c>
      <c r="I7" s="42" t="n">
        <v>61</v>
      </c>
      <c r="J7" s="32" t="s">
        <v>308</v>
      </c>
    </row>
    <row r="8" customFormat="false" ht="15" hidden="false" customHeight="false" outlineLevel="0" collapsed="false">
      <c r="A8" s="24" t="s">
        <v>312</v>
      </c>
      <c r="B8" s="25" t="s">
        <v>313</v>
      </c>
      <c r="C8" s="35" t="s">
        <v>314</v>
      </c>
      <c r="D8" s="35" t="s">
        <v>48</v>
      </c>
      <c r="E8" s="35" t="s">
        <v>307</v>
      </c>
      <c r="F8" s="35" t="s">
        <v>76</v>
      </c>
      <c r="G8" s="26" t="n">
        <f aca="false">COUNTIF('📋 Projects'!E:E,"Variable Speed Drive")</f>
        <v>7</v>
      </c>
      <c r="H8" s="35" t="s">
        <v>55</v>
      </c>
      <c r="I8" s="43" t="n">
        <v>74</v>
      </c>
      <c r="J8" s="35" t="s">
        <v>308</v>
      </c>
    </row>
    <row r="9" customFormat="false" ht="15" hidden="false" customHeight="false" outlineLevel="0" collapsed="false">
      <c r="A9" s="18" t="s">
        <v>315</v>
      </c>
      <c r="B9" s="19" t="s">
        <v>316</v>
      </c>
      <c r="C9" s="32" t="s">
        <v>317</v>
      </c>
      <c r="D9" s="32" t="s">
        <v>42</v>
      </c>
      <c r="E9" s="32" t="s">
        <v>294</v>
      </c>
      <c r="F9" s="32" t="s">
        <v>82</v>
      </c>
      <c r="G9" s="20" t="n">
        <f aca="false">COUNTIF('📋 Projects'!E:E,"Insulation Upgrade")</f>
        <v>5</v>
      </c>
      <c r="H9" s="32" t="s">
        <v>44</v>
      </c>
      <c r="I9" s="42" t="n">
        <v>62</v>
      </c>
      <c r="J9" s="32" t="s">
        <v>308</v>
      </c>
    </row>
    <row r="10" customFormat="false" ht="15" hidden="false" customHeight="false" outlineLevel="0" collapsed="false">
      <c r="A10" s="24" t="s">
        <v>318</v>
      </c>
      <c r="B10" s="25" t="s">
        <v>319</v>
      </c>
      <c r="C10" s="35" t="s">
        <v>320</v>
      </c>
      <c r="D10" s="35" t="s">
        <v>54</v>
      </c>
      <c r="E10" s="35" t="s">
        <v>299</v>
      </c>
      <c r="F10" s="35" t="s">
        <v>79</v>
      </c>
      <c r="G10" s="26" t="n">
        <f aca="false">COUNTIF('📋 Projects'!E:E,"Steam Optimization")</f>
        <v>7</v>
      </c>
      <c r="H10" s="35" t="s">
        <v>53</v>
      </c>
      <c r="I10" s="43" t="n">
        <v>72</v>
      </c>
      <c r="J10" s="35" t="s">
        <v>308</v>
      </c>
    </row>
    <row r="11" customFormat="false" ht="15" hidden="false" customHeight="false" outlineLevel="0" collapsed="false">
      <c r="A11" s="18" t="s">
        <v>321</v>
      </c>
      <c r="B11" s="19" t="s">
        <v>322</v>
      </c>
      <c r="C11" s="32" t="s">
        <v>323</v>
      </c>
      <c r="D11" s="32" t="s">
        <v>45</v>
      </c>
      <c r="E11" s="32" t="s">
        <v>294</v>
      </c>
      <c r="F11" s="32" t="s">
        <v>143</v>
      </c>
      <c r="G11" s="20" t="n">
        <f aca="false">COUNTIF('📋 Projects'!E:E,"Electric Motor Upgrade")</f>
        <v>3</v>
      </c>
      <c r="H11" s="32" t="s">
        <v>44</v>
      </c>
      <c r="I11" s="42" t="n">
        <v>69</v>
      </c>
      <c r="J11" s="32" t="s">
        <v>324</v>
      </c>
    </row>
    <row r="12" customFormat="false" ht="23.85" hidden="false" customHeight="false" outlineLevel="0" collapsed="false">
      <c r="A12" s="24" t="s">
        <v>325</v>
      </c>
      <c r="B12" s="25" t="s">
        <v>326</v>
      </c>
      <c r="C12" s="35" t="s">
        <v>293</v>
      </c>
      <c r="D12" s="35" t="s">
        <v>42</v>
      </c>
      <c r="E12" s="35" t="s">
        <v>307</v>
      </c>
      <c r="F12" s="35" t="s">
        <v>327</v>
      </c>
      <c r="G12" s="26" t="n">
        <f aca="false">COUNTIF('📋 Projects'!E:E,"Process Optimization")</f>
        <v>5</v>
      </c>
      <c r="H12" s="35" t="s">
        <v>53</v>
      </c>
      <c r="I12" s="43" t="n">
        <v>90</v>
      </c>
      <c r="J12" s="35" t="s">
        <v>308</v>
      </c>
    </row>
  </sheetData>
  <mergeCells count="1">
    <mergeCell ref="A1:J1"/>
  </mergeCells>
  <conditionalFormatting sqref="I3:I12">
    <cfRule type="colorScale" priority="2">
      <colorScale>
        <cfvo type="min" val="0"/>
        <cfvo type="percentile" val="50"/>
        <cfvo type="max" val="0"/>
        <color rgb="FFFF0000"/>
        <color rgb="FFFFFF00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6" min="4" style="0" width="5"/>
  </cols>
  <sheetData>
    <row r="1" customFormat="false" ht="36" hidden="false" customHeight="true" outlineLevel="0" collapsed="false">
      <c r="A1" s="44" t="s">
        <v>328</v>
      </c>
      <c r="B1" s="44"/>
      <c r="C1" s="44"/>
      <c r="D1" s="44"/>
      <c r="E1" s="44"/>
      <c r="F1" s="44"/>
    </row>
    <row r="2" customFormat="false" ht="15" hidden="false" customHeight="true" outlineLevel="0" collapsed="false">
      <c r="A2" s="45" t="s">
        <v>329</v>
      </c>
      <c r="B2" s="45"/>
      <c r="C2" s="45"/>
      <c r="D2" s="45"/>
      <c r="E2" s="45"/>
      <c r="F2" s="45"/>
    </row>
    <row r="4" customFormat="false" ht="24" hidden="false" customHeight="true" outlineLevel="0" collapsed="false">
      <c r="A4" s="3" t="s">
        <v>330</v>
      </c>
      <c r="B4" s="3"/>
      <c r="C4" s="3"/>
      <c r="D4" s="3"/>
      <c r="E4" s="3"/>
      <c r="F4" s="3"/>
    </row>
    <row r="5" customFormat="false" ht="26.85" hidden="false" customHeight="false" outlineLevel="0" collapsed="false">
      <c r="A5" s="24" t="s">
        <v>67</v>
      </c>
      <c r="B5" s="46" t="s">
        <v>331</v>
      </c>
    </row>
    <row r="6" customFormat="false" ht="15" hidden="false" customHeight="false" outlineLevel="0" collapsed="false">
      <c r="A6" s="24" t="s">
        <v>30</v>
      </c>
      <c r="B6" s="46" t="s">
        <v>61</v>
      </c>
    </row>
    <row r="7" customFormat="false" ht="26.85" hidden="false" customHeight="false" outlineLevel="0" collapsed="false">
      <c r="A7" s="24" t="s">
        <v>332</v>
      </c>
      <c r="B7" s="46" t="s">
        <v>76</v>
      </c>
    </row>
    <row r="8" customFormat="false" ht="15" hidden="false" customHeight="false" outlineLevel="0" collapsed="false">
      <c r="A8" s="24" t="s">
        <v>333</v>
      </c>
      <c r="B8" s="46" t="n">
        <v>500</v>
      </c>
      <c r="C8" s="47" t="s">
        <v>334</v>
      </c>
    </row>
    <row r="9" customFormat="false" ht="15" hidden="false" customHeight="false" outlineLevel="0" collapsed="false">
      <c r="A9" s="24" t="s">
        <v>335</v>
      </c>
      <c r="B9" s="46" t="n">
        <v>300</v>
      </c>
      <c r="C9" s="47" t="s">
        <v>336</v>
      </c>
    </row>
    <row r="10" customFormat="false" ht="15" hidden="false" customHeight="false" outlineLevel="0" collapsed="false">
      <c r="A10" s="24" t="s">
        <v>337</v>
      </c>
      <c r="B10" s="46" t="n">
        <v>80</v>
      </c>
      <c r="C10" s="47" t="s">
        <v>338</v>
      </c>
    </row>
    <row r="11" customFormat="false" ht="15" hidden="false" customHeight="false" outlineLevel="0" collapsed="false">
      <c r="A11" s="24" t="s">
        <v>339</v>
      </c>
      <c r="B11" s="46" t="n">
        <v>10</v>
      </c>
      <c r="C11" s="47" t="s">
        <v>340</v>
      </c>
    </row>
    <row r="12" customFormat="false" ht="15" hidden="false" customHeight="false" outlineLevel="0" collapsed="false">
      <c r="A12" s="24" t="s">
        <v>341</v>
      </c>
      <c r="B12" s="46" t="n">
        <v>8</v>
      </c>
      <c r="C12" s="47" t="s">
        <v>342</v>
      </c>
    </row>
    <row r="13" customFormat="false" ht="15" hidden="false" customHeight="false" outlineLevel="0" collapsed="false">
      <c r="A13" s="24" t="s">
        <v>343</v>
      </c>
      <c r="B13" s="46" t="n">
        <v>0.35</v>
      </c>
      <c r="C13" s="47" t="s">
        <v>344</v>
      </c>
    </row>
    <row r="17" customFormat="false" ht="24" hidden="false" customHeight="true" outlineLevel="0" collapsed="false">
      <c r="A17" s="48" t="s">
        <v>345</v>
      </c>
      <c r="B17" s="48"/>
      <c r="C17" s="48"/>
      <c r="D17" s="48"/>
      <c r="E17" s="48"/>
      <c r="F17" s="48"/>
    </row>
    <row r="18" customFormat="false" ht="15" hidden="false" customHeight="false" outlineLevel="0" collapsed="false">
      <c r="A18" s="24" t="s">
        <v>346</v>
      </c>
      <c r="B18" s="49" t="n">
        <f aca="false">B10*B11/1000</f>
        <v>0.8</v>
      </c>
      <c r="C18" s="47" t="s">
        <v>347</v>
      </c>
    </row>
    <row r="19" customFormat="false" ht="15" hidden="false" customHeight="false" outlineLevel="0" collapsed="false">
      <c r="A19" s="24" t="s">
        <v>348</v>
      </c>
      <c r="B19" s="49" t="n">
        <f aca="false">IFERROR(B9/B18,0)</f>
        <v>375</v>
      </c>
      <c r="C19" s="47" t="s">
        <v>340</v>
      </c>
    </row>
    <row r="20" customFormat="false" ht="15" hidden="false" customHeight="false" outlineLevel="0" collapsed="false">
      <c r="A20" s="24" t="s">
        <v>349</v>
      </c>
      <c r="B20" s="49" t="n">
        <f aca="false">B18*B12</f>
        <v>6.4</v>
      </c>
      <c r="C20" s="47" t="s">
        <v>334</v>
      </c>
    </row>
    <row r="21" customFormat="false" ht="15" hidden="false" customHeight="false" outlineLevel="0" collapsed="false">
      <c r="A21" s="24" t="s">
        <v>350</v>
      </c>
      <c r="B21" s="49" t="n">
        <f aca="false">IFERROR(B18*((1-(1+B13/100)^(-B12))/(B13/100))-B9,0)</f>
        <v>-293.699635224636</v>
      </c>
      <c r="C21" s="47" t="s">
        <v>334</v>
      </c>
    </row>
    <row r="22" customFormat="false" ht="15" hidden="false" customHeight="false" outlineLevel="0" collapsed="false">
      <c r="A22" s="24" t="s">
        <v>351</v>
      </c>
      <c r="B22" s="49" t="n">
        <f aca="false">IFERROR((B18/B9)*100,0)</f>
        <v>0.266666666666667</v>
      </c>
      <c r="C22" s="47" t="s">
        <v>342</v>
      </c>
    </row>
    <row r="23" customFormat="false" ht="15" hidden="false" customHeight="false" outlineLevel="0" collapsed="false">
      <c r="A23" s="24" t="s">
        <v>352</v>
      </c>
      <c r="B23" s="49" t="n">
        <f aca="false">B10*B14</f>
        <v>0</v>
      </c>
      <c r="C23" s="47" t="s">
        <v>353</v>
      </c>
    </row>
    <row r="24" customFormat="false" ht="15" hidden="false" customHeight="false" outlineLevel="0" collapsed="false">
      <c r="A24" s="24" t="s">
        <v>354</v>
      </c>
      <c r="B24" s="49" t="n">
        <f aca="false">B10*B14*B12</f>
        <v>0</v>
      </c>
      <c r="C24" s="47" t="s">
        <v>355</v>
      </c>
    </row>
    <row r="25" customFormat="false" ht="15" hidden="false" customHeight="false" outlineLevel="0" collapsed="false">
      <c r="A25" s="24" t="s">
        <v>356</v>
      </c>
      <c r="B25" s="49" t="n">
        <f aca="false">IFERROR((B18*1000)/( B10*B14),0)</f>
        <v>0</v>
      </c>
      <c r="C25" s="47" t="s">
        <v>357</v>
      </c>
    </row>
  </sheetData>
  <mergeCells count="4">
    <mergeCell ref="A1:F1"/>
    <mergeCell ref="A2:F2"/>
    <mergeCell ref="A4:F4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5"/>
  </cols>
  <sheetData>
    <row r="1" customFormat="false" ht="36" hidden="false" customHeight="true" outlineLevel="0" collapsed="false">
      <c r="A1" s="44" t="s">
        <v>358</v>
      </c>
      <c r="B1" s="44"/>
      <c r="C1" s="44"/>
      <c r="D1" s="44"/>
      <c r="E1" s="44"/>
    </row>
    <row r="3" customFormat="false" ht="15" hidden="false" customHeight="true" outlineLevel="0" collapsed="false">
      <c r="A3" s="50" t="s">
        <v>359</v>
      </c>
      <c r="B3" s="50"/>
      <c r="C3" s="50"/>
      <c r="D3" s="50"/>
      <c r="E3" s="50"/>
    </row>
    <row r="4" customFormat="false" ht="24" hidden="false" customHeight="true" outlineLevel="0" collapsed="false">
      <c r="A4" s="51" t="s">
        <v>360</v>
      </c>
      <c r="B4" s="52" t="s">
        <v>361</v>
      </c>
      <c r="C4" s="52"/>
      <c r="D4" s="52"/>
      <c r="E4" s="52"/>
    </row>
    <row r="5" customFormat="false" ht="24" hidden="false" customHeight="true" outlineLevel="0" collapsed="false">
      <c r="A5" s="51" t="s">
        <v>362</v>
      </c>
      <c r="B5" s="52" t="s">
        <v>363</v>
      </c>
      <c r="C5" s="52"/>
      <c r="D5" s="52"/>
      <c r="E5" s="52"/>
    </row>
    <row r="6" customFormat="false" ht="24" hidden="false" customHeight="true" outlineLevel="0" collapsed="false">
      <c r="A6" s="51" t="s">
        <v>364</v>
      </c>
      <c r="B6" s="52" t="s">
        <v>365</v>
      </c>
      <c r="C6" s="52"/>
      <c r="D6" s="52"/>
      <c r="E6" s="52"/>
    </row>
    <row r="7" customFormat="false" ht="24" hidden="false" customHeight="true" outlineLevel="0" collapsed="false">
      <c r="A7" s="51" t="s">
        <v>366</v>
      </c>
      <c r="B7" s="52" t="s">
        <v>367</v>
      </c>
      <c r="C7" s="52"/>
      <c r="D7" s="52"/>
      <c r="E7" s="52"/>
    </row>
    <row r="8" customFormat="false" ht="24" hidden="false" customHeight="true" outlineLevel="0" collapsed="false">
      <c r="A8" s="51" t="s">
        <v>368</v>
      </c>
      <c r="B8" s="52" t="s">
        <v>369</v>
      </c>
      <c r="C8" s="52"/>
      <c r="D8" s="52"/>
      <c r="E8" s="52"/>
    </row>
    <row r="9" customFormat="false" ht="24" hidden="false" customHeight="true" outlineLevel="0" collapsed="false">
      <c r="A9" s="51" t="s">
        <v>370</v>
      </c>
      <c r="B9" s="52" t="s">
        <v>371</v>
      </c>
      <c r="C9" s="52"/>
      <c r="D9" s="52"/>
      <c r="E9" s="52"/>
    </row>
    <row r="11" customFormat="false" ht="15" hidden="false" customHeight="true" outlineLevel="0" collapsed="false">
      <c r="A11" s="50" t="s">
        <v>372</v>
      </c>
      <c r="B11" s="50"/>
      <c r="C11" s="50"/>
      <c r="D11" s="50"/>
      <c r="E11" s="50"/>
    </row>
    <row r="12" customFormat="false" ht="15" hidden="false" customHeight="false" outlineLevel="0" collapsed="false">
      <c r="A12" s="53" t="s">
        <v>373</v>
      </c>
      <c r="B12" s="54" t="s">
        <v>374</v>
      </c>
      <c r="C12" s="54"/>
      <c r="D12" s="54"/>
      <c r="E12" s="54"/>
    </row>
    <row r="13" customFormat="false" ht="15" hidden="false" customHeight="false" outlineLevel="0" collapsed="false">
      <c r="A13" s="55" t="s">
        <v>375</v>
      </c>
      <c r="B13" s="54" t="s">
        <v>376</v>
      </c>
      <c r="C13" s="54"/>
      <c r="D13" s="54"/>
      <c r="E13" s="54"/>
    </row>
    <row r="14" customFormat="false" ht="15" hidden="false" customHeight="false" outlineLevel="0" collapsed="false">
      <c r="A14" s="56" t="s">
        <v>377</v>
      </c>
      <c r="B14" s="54" t="s">
        <v>378</v>
      </c>
      <c r="C14" s="54"/>
      <c r="D14" s="54"/>
      <c r="E14" s="54"/>
    </row>
    <row r="15" customFormat="false" ht="15" hidden="false" customHeight="false" outlineLevel="0" collapsed="false">
      <c r="A15" s="57" t="s">
        <v>379</v>
      </c>
      <c r="B15" s="54" t="s">
        <v>380</v>
      </c>
      <c r="C15" s="54"/>
      <c r="D15" s="54"/>
      <c r="E15" s="54"/>
    </row>
    <row r="16" customFormat="false" ht="15" hidden="false" customHeight="false" outlineLevel="0" collapsed="false">
      <c r="A16" s="58" t="s">
        <v>381</v>
      </c>
      <c r="B16" s="54" t="s">
        <v>382</v>
      </c>
      <c r="C16" s="54"/>
      <c r="D16" s="54"/>
      <c r="E16" s="54"/>
    </row>
    <row r="17" customFormat="false" ht="15" hidden="false" customHeight="false" outlineLevel="0" collapsed="false">
      <c r="A17" s="59" t="s">
        <v>383</v>
      </c>
      <c r="B17" s="54" t="s">
        <v>384</v>
      </c>
      <c r="C17" s="54"/>
      <c r="D17" s="54"/>
      <c r="E17" s="54"/>
    </row>
  </sheetData>
  <mergeCells count="15">
    <mergeCell ref="A1:E1"/>
    <mergeCell ref="A3:E3"/>
    <mergeCell ref="B4:E4"/>
    <mergeCell ref="B5:E5"/>
    <mergeCell ref="B6:E6"/>
    <mergeCell ref="B7:E7"/>
    <mergeCell ref="B8:E8"/>
    <mergeCell ref="B9:E9"/>
    <mergeCell ref="A11:E11"/>
    <mergeCell ref="B12:E12"/>
    <mergeCell ref="B13:E13"/>
    <mergeCell ref="B14:E14"/>
    <mergeCell ref="B15:E15"/>
    <mergeCell ref="B16:E1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2026-06-13T08:24:58Z</dcterms:created>
  <dc:creator>openpyxl</dc:creator>
  <dc:description/>
  <dc:language>en-US</dc:language>
  <cp:lastModifiedBy/>
  <dcterms:modified xsi:type="dcterms:W3CDTF">2026-06-13T08:24:59Z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